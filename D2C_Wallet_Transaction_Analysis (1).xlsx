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ta" sheetId="2" r:id="rId6"/>
    <sheet state="visible" name="Q1 - IMPS 7th Highest Debit" sheetId="3" r:id="rId7"/>
    <sheet state="visible" name="Q2 - Category Counts" sheetId="4" r:id="rId8"/>
    <sheet state="visible" name="Q3 - Load Amount Stats" sheetId="5" r:id="rId9"/>
    <sheet state="visible" name="Q4 - Monthly Cohort" sheetId="6" r:id="rId10"/>
    <sheet state="visible" name="Q5 - Top Decile Users" sheetId="7" r:id="rId11"/>
  </sheets>
  <definedNames/>
  <calcPr/>
</workbook>
</file>

<file path=xl/sharedStrings.xml><?xml version="1.0" encoding="utf-8"?>
<sst xmlns="http://schemas.openxmlformats.org/spreadsheetml/2006/main" count="1487" uniqueCount="552">
  <si>
    <t>D2C Wallet Transactions — Assignment Solutions</t>
  </si>
  <si>
    <t>Transaction Time</t>
  </si>
  <si>
    <t>Scope</t>
  </si>
  <si>
    <t>User Id</t>
  </si>
  <si>
    <t>Transaction Amt</t>
  </si>
  <si>
    <t>Source: Data_Set.pdf (Google Sheets export, 18 pages). Text was garbled by the PDF's text-extraction order; the underlying table was reconstructed using each word's (x, y) coordinates on the page, then cross-validated (467/467 rows: derived month from Transaction Time matches the stated Month column; 0 duplicate Txn_ids; 0 missing fields).</t>
  </si>
  <si>
    <t>Narration</t>
  </si>
  <si>
    <t>Transaction Type</t>
  </si>
  <si>
    <t>Schema</t>
  </si>
  <si>
    <t>Txn_id</t>
  </si>
  <si>
    <t>Load Amt (CREDIT only)</t>
  </si>
  <si>
    <t>•  Narration = payment rail (IMPS / IFT / NEFT / RTGS / UPI).</t>
  </si>
  <si>
    <t>IMPS Debit Amt</t>
  </si>
  <si>
    <t>Txn Month</t>
  </si>
  <si>
    <t>Q1) 7th Highest Debit Amount Through IMPS</t>
  </si>
  <si>
    <t>IMPS</t>
  </si>
  <si>
    <t>•  Transaction Type = direction (CREDIT = money in, DEBIT = money out).</t>
  </si>
  <si>
    <t>CREDIT</t>
  </si>
  <si>
    <t>BAE59856</t>
  </si>
  <si>
    <t>•  Month / Month2 in the source were duplicate columns, both equal to MONTH(Transaction Time); dropped after validation.</t>
  </si>
  <si>
    <t>Key assumption</t>
  </si>
  <si>
    <t>"Load amount" (Q3) is read as the amount of CREDIT transactions — i.e. money loaded onto the account via IMPS/NEFT/RTGS/UPI/IFT — mirroring how Q5 uses DEBIT − CREDIT as "net amount" (DEBIT = spend, CREDIT = load).</t>
  </si>
  <si>
    <t>Note on Q2</t>
  </si>
  <si>
    <t>The question names 4 categories (UPI, IMPS, RTGS, NEFT); the data contains a 5th — IFT (83 txns, 17.8%) — reported for completeness.</t>
  </si>
  <si>
    <t>Note on Q5</t>
  </si>
  <si>
    <t>This sample has only 10 unique users, so the top 10th percentile resolves to the single highest-ranked user. The formula (PERCENT_RANK / rank-based) is written to scale correctly to any user count.</t>
  </si>
  <si>
    <t>Every figure in this workbook (except the two chart images and the User-ID list) is a live formula referencing the Data sheet, so it recalculates if the source rows change.</t>
  </si>
  <si>
    <t>SQL:</t>
  </si>
  <si>
    <t>SELECT . FROM transactions WHERE narration='IMPS' AND transaction_type='DEBIT' ORDER BY transaction_amt DESC LIMIT 1 OFFSET 6</t>
  </si>
  <si>
    <t>DEBIT</t>
  </si>
  <si>
    <t>EA567B31</t>
  </si>
  <si>
    <t>IFT</t>
  </si>
  <si>
    <t>8F2BF2D7</t>
  </si>
  <si>
    <t>B14E97B6</t>
  </si>
  <si>
    <t>UPI</t>
  </si>
  <si>
    <t>FDCA61BA</t>
  </si>
  <si>
    <t>F23D8CD9</t>
  </si>
  <si>
    <t>Answer: 7th highest IMPS debit amount:</t>
  </si>
  <si>
    <t>1C3F824B</t>
  </si>
  <si>
    <t>288AD8AD</t>
  </si>
  <si>
    <t>0E29A716</t>
  </si>
  <si>
    <t>FF2A97E9</t>
  </si>
  <si>
    <t>RTGS</t>
  </si>
  <si>
    <t>36DC6B17</t>
  </si>
  <si>
    <t>Date:</t>
  </si>
  <si>
    <t>Q3) Load Amount: Statistical Summary, Bell Curve, Box Plot</t>
  </si>
  <si>
    <t>39FFC1B6</t>
  </si>
  <si>
    <t>"Load amount" = Transaction Amt where Transaction Type = CREDIT (see README).</t>
  </si>
  <si>
    <t>F581A2E5</t>
  </si>
  <si>
    <t>Metric</t>
  </si>
  <si>
    <t>Value</t>
  </si>
  <si>
    <t>EED586C7</t>
  </si>
  <si>
    <t>Count</t>
  </si>
  <si>
    <t>1A82FACE</t>
  </si>
  <si>
    <t>27E005A0</t>
  </si>
  <si>
    <t>User ID:</t>
  </si>
  <si>
    <t>Mean</t>
  </si>
  <si>
    <t>A16A5D47</t>
  </si>
  <si>
    <t>6954BE10</t>
  </si>
  <si>
    <t>Median</t>
  </si>
  <si>
    <t>F2B34800</t>
  </si>
  <si>
    <t>Mode</t>
  </si>
  <si>
    <t>93940C7C</t>
  </si>
  <si>
    <t>Txn ID:</t>
  </si>
  <si>
    <t>Std Dev</t>
  </si>
  <si>
    <t>B63EFBB3</t>
  </si>
  <si>
    <t>Variance</t>
  </si>
  <si>
    <t>8BBF7CA7</t>
  </si>
  <si>
    <t>3E98485C</t>
  </si>
  <si>
    <t>Minimum</t>
  </si>
  <si>
    <t>5FD7C873</t>
  </si>
  <si>
    <t>Maximum</t>
  </si>
  <si>
    <t>Top 10 IMPS debits (context — rank 7 highlighted):</t>
  </si>
  <si>
    <t>B1911A91</t>
  </si>
  <si>
    <t>Range</t>
  </si>
  <si>
    <t>5E650157</t>
  </si>
  <si>
    <t>Rank</t>
  </si>
  <si>
    <t>Q1 (25th pct)</t>
  </si>
  <si>
    <t>Date</t>
  </si>
  <si>
    <t>User ID</t>
  </si>
  <si>
    <t>9338803C</t>
  </si>
  <si>
    <t>Amount</t>
  </si>
  <si>
    <t>Txn ID</t>
  </si>
  <si>
    <t>64B08A24</t>
  </si>
  <si>
    <t>Q3 (75th pct)</t>
  </si>
  <si>
    <t>A7EFA0C5</t>
  </si>
  <si>
    <t>37555D63</t>
  </si>
  <si>
    <t>IQR</t>
  </si>
  <si>
    <t>Skewness</t>
  </si>
  <si>
    <t>515A6427</t>
  </si>
  <si>
    <t>Kurtosis (excess)</t>
  </si>
  <si>
    <t>B3727B8D</t>
  </si>
  <si>
    <t>1B45222A</t>
  </si>
  <si>
    <t>Skewness ≈ 0 → roughly symmetric. Negative excess kurtosis → flatter than a normal curve (platykurtic).</t>
  </si>
  <si>
    <t>382B4657</t>
  </si>
  <si>
    <t>NEFT</t>
  </si>
  <si>
    <t>E199F7A5</t>
  </si>
  <si>
    <t>F40EC5E6</t>
  </si>
  <si>
    <t>A43F2C5C</t>
  </si>
  <si>
    <t>2C5B1962</t>
  </si>
  <si>
    <t>7FC6DC6A</t>
  </si>
  <si>
    <t>A17A5633</t>
  </si>
  <si>
    <t>119D7ED8</t>
  </si>
  <si>
    <t>F32C9D9B</t>
  </si>
  <si>
    <t>2975C1C6</t>
  </si>
  <si>
    <t>EB865979</t>
  </si>
  <si>
    <t>BD929C84</t>
  </si>
  <si>
    <t>Q2)  Number of Transactions, Category-wise</t>
  </si>
  <si>
    <t>SQL: SELECT narration, COUNT(*) FROM transactions GROUP BY narration ORDER BY COUNT(*) DESC</t>
  </si>
  <si>
    <t>7663AA0B</t>
  </si>
  <si>
    <t>Category</t>
  </si>
  <si>
    <t>Txn Count</t>
  </si>
  <si>
    <t>% of Total</t>
  </si>
  <si>
    <t>9A14C083</t>
  </si>
  <si>
    <t>3EA758CE</t>
  </si>
  <si>
    <t>C6635594</t>
  </si>
  <si>
    <t>5CB87F9F</t>
  </si>
  <si>
    <t>ED27AC46</t>
  </si>
  <si>
    <t>8AEBC421</t>
  </si>
  <si>
    <t>Q4)  Monthly Cohort View of Active Users (users doing DEBIT transactions)</t>
  </si>
  <si>
    <t>E8950C83</t>
  </si>
  <si>
    <t>395601EE</t>
  </si>
  <si>
    <t>Cohort = calendar month of a user's FIRST DEBIT txn. Cell = count of that cohort's users who placed ≥1 DEBIT txn in the column's month.</t>
  </si>
  <si>
    <t>C9D86ABC</t>
  </si>
  <si>
    <t>1AA2AF40</t>
  </si>
  <si>
    <t>381C62AD</t>
  </si>
  <si>
    <t>Total</t>
  </si>
  <si>
    <t>0FED36CF</t>
  </si>
  <si>
    <t>Helper table (feeds the matrix at left) →</t>
  </si>
  <si>
    <t>B55F050E</t>
  </si>
  <si>
    <t>First Month \ Active Month</t>
  </si>
  <si>
    <t>11D6E82F</t>
  </si>
  <si>
    <t>BDF20BCA</t>
  </si>
  <si>
    <t>Cohort Size</t>
  </si>
  <si>
    <t>51B2D284</t>
  </si>
  <si>
    <t>User</t>
  </si>
  <si>
    <t>C6C28E55</t>
  </si>
  <si>
    <t>Cohort Month</t>
  </si>
  <si>
    <t>C8B7AED3</t>
  </si>
  <si>
    <t>ABE36980</t>
  </si>
  <si>
    <t>8B2F2DF5</t>
  </si>
  <si>
    <t>F00E5B35</t>
  </si>
  <si>
    <t>533C676F</t>
  </si>
  <si>
    <t>FF75B44D</t>
  </si>
  <si>
    <t>8CEA2EFA</t>
  </si>
  <si>
    <t>876AEBD5</t>
  </si>
  <si>
    <t>125F6C33</t>
  </si>
  <si>
    <t>B33DB667</t>
  </si>
  <si>
    <t>DA013E2F</t>
  </si>
  <si>
    <t>21EA3DCC</t>
  </si>
  <si>
    <t>19502D81</t>
  </si>
  <si>
    <t>267B62A7</t>
  </si>
  <si>
    <t>5AC0662B</t>
  </si>
  <si>
    <t>Q5) Top 10th-Percentile Users by Net Amount (DEBIT − CREDIT)</t>
  </si>
  <si>
    <t>F1778B22</t>
  </si>
  <si>
    <t>DF4B618C</t>
  </si>
  <si>
    <t>SQL: window function PERCENT_RANK() over per-user SUM(DEBIT)-SUM(CREDIT); WHERE pct_rank &lt;= 0.10</t>
  </si>
  <si>
    <t>4709A18A</t>
  </si>
  <si>
    <t>71B9138B</t>
  </si>
  <si>
    <t>54A2B205</t>
  </si>
  <si>
    <t>36E37C94</t>
  </si>
  <si>
    <t>B73C77F1</t>
  </si>
  <si>
    <t>Total Debit</t>
  </si>
  <si>
    <t>Total Credit</t>
  </si>
  <si>
    <t>B36002F8</t>
  </si>
  <si>
    <t>Net Amount</t>
  </si>
  <si>
    <t>Percentile
from top</t>
  </si>
  <si>
    <t>Top Decile?</t>
  </si>
  <si>
    <t>8A8A9A55</t>
  </si>
  <si>
    <t>B642245D</t>
  </si>
  <si>
    <t>EFDEAF55</t>
  </si>
  <si>
    <t>7293C960</t>
  </si>
  <si>
    <t>55C5E65A</t>
  </si>
  <si>
    <t>2C51782B</t>
  </si>
  <si>
    <t>C4DC0B42</t>
  </si>
  <si>
    <t>E77AB5AB</t>
  </si>
  <si>
    <t>CC5E1751</t>
  </si>
  <si>
    <t>FF70EF84</t>
  </si>
  <si>
    <t>2E22F1F9</t>
  </si>
  <si>
    <t>1BFE7A8A</t>
  </si>
  <si>
    <t>A523DA57</t>
  </si>
  <si>
    <t>8831CCE3</t>
  </si>
  <si>
    <t>E91E6182</t>
  </si>
  <si>
    <t>22E29F7D</t>
  </si>
  <si>
    <t>73A473F4</t>
  </si>
  <si>
    <t>89DA8B94</t>
  </si>
  <si>
    <t>DC3EC2D0</t>
  </si>
  <si>
    <t>1891D33A</t>
  </si>
  <si>
    <t>C815EE5A</t>
  </si>
  <si>
    <t>8871B097</t>
  </si>
  <si>
    <t>9251211E</t>
  </si>
  <si>
    <t>23767430</t>
  </si>
  <si>
    <t>E34C3C68</t>
  </si>
  <si>
    <t>AF118674</t>
  </si>
  <si>
    <t>FC7903B9</t>
  </si>
  <si>
    <t>CDAFE73C</t>
  </si>
  <si>
    <t>BA88DD10</t>
  </si>
  <si>
    <t>82AFBCB4</t>
  </si>
  <si>
    <t>86CC13F2</t>
  </si>
  <si>
    <t>7641EB77</t>
  </si>
  <si>
    <t>2B544D2F</t>
  </si>
  <si>
    <t>8BFD76FD</t>
  </si>
  <si>
    <t>3EE9E38B</t>
  </si>
  <si>
    <t>5DB0F213</t>
  </si>
  <si>
    <t>73240AE8</t>
  </si>
  <si>
    <t>854FFA90</t>
  </si>
  <si>
    <t>5E01849B</t>
  </si>
  <si>
    <t>DEC40462</t>
  </si>
  <si>
    <t>502438A1</t>
  </si>
  <si>
    <t>D6F58B52</t>
  </si>
  <si>
    <t>35E74946</t>
  </si>
  <si>
    <t>F10A0D73</t>
  </si>
  <si>
    <t>087DF195</t>
  </si>
  <si>
    <t>6ED2DE80</t>
  </si>
  <si>
    <t>1CEB77E7</t>
  </si>
  <si>
    <t>00BF393B</t>
  </si>
  <si>
    <t>AD2F478D</t>
  </si>
  <si>
    <t>E97EF5A6</t>
  </si>
  <si>
    <t>47CC298B</t>
  </si>
  <si>
    <t>E49D6E83</t>
  </si>
  <si>
    <t>045EEF6D</t>
  </si>
  <si>
    <t>B126118F</t>
  </si>
  <si>
    <t>8AE1B63D</t>
  </si>
  <si>
    <t>1146B17B</t>
  </si>
  <si>
    <t>BE6D7B2A</t>
  </si>
  <si>
    <t>19230B44</t>
  </si>
  <si>
    <t>FE6F1F09</t>
  </si>
  <si>
    <t>F9AF7F6C</t>
  </si>
  <si>
    <t>11A79892</t>
  </si>
  <si>
    <t>294B795A</t>
  </si>
  <si>
    <t>0C4A6BA9</t>
  </si>
  <si>
    <t>3640B9C6</t>
  </si>
  <si>
    <t>85327725</t>
  </si>
  <si>
    <t>F5835334</t>
  </si>
  <si>
    <t>BBA1F8C4</t>
  </si>
  <si>
    <t>CD60BA98</t>
  </si>
  <si>
    <t>A892C437</t>
  </si>
  <si>
    <t>24FEC29A</t>
  </si>
  <si>
    <t>D59C2F99</t>
  </si>
  <si>
    <t>089D1F97</t>
  </si>
  <si>
    <t>F63F38A5</t>
  </si>
  <si>
    <t>A5D5EE4F</t>
  </si>
  <si>
    <t>2C8E3B93</t>
  </si>
  <si>
    <t>165D4EB0</t>
  </si>
  <si>
    <t>FA4B7B31</t>
  </si>
  <si>
    <t>9AAF9285</t>
  </si>
  <si>
    <t>6A628DC3</t>
  </si>
  <si>
    <t>3937817C</t>
  </si>
  <si>
    <t>CB2A6FAF</t>
  </si>
  <si>
    <t>4B59576F</t>
  </si>
  <si>
    <t>D3FA4232</t>
  </si>
  <si>
    <t>A604627E</t>
  </si>
  <si>
    <t>FB60B83E</t>
  </si>
  <si>
    <t>2315FB34</t>
  </si>
  <si>
    <t>69EDCDD9</t>
  </si>
  <si>
    <t>4DB8C5D5</t>
  </si>
  <si>
    <t>9C4300E2</t>
  </si>
  <si>
    <t>363656E7</t>
  </si>
  <si>
    <t>B0328B8A</t>
  </si>
  <si>
    <t>C0DBE94A</t>
  </si>
  <si>
    <t>A3A886C7</t>
  </si>
  <si>
    <t xml:space="preserve">Top ranked user (top 10th percentile) </t>
  </si>
  <si>
    <t>362D1C75</t>
  </si>
  <si>
    <t>F52AA230</t>
  </si>
  <si>
    <t>FA59846D</t>
  </si>
  <si>
    <t>AE487A40</t>
  </si>
  <si>
    <t>49DB004C</t>
  </si>
  <si>
    <t>7361E656</t>
  </si>
  <si>
    <t>4D39BB7E</t>
  </si>
  <si>
    <t>A9AA98E3</t>
  </si>
  <si>
    <t>BF3FCB43</t>
  </si>
  <si>
    <t>DC395199</t>
  </si>
  <si>
    <t>682C15FA</t>
  </si>
  <si>
    <t>6B33A624</t>
  </si>
  <si>
    <t>With only 10 unique users in this sample, the top 10th percentile = the single top-ranked user. All users show CREDIT &gt; DEBIT i.e. a negative net amount; "highest" net = least negative.</t>
  </si>
  <si>
    <t>46967EC3</t>
  </si>
  <si>
    <t>B3FE1216</t>
  </si>
  <si>
    <t>59AB77FD</t>
  </si>
  <si>
    <t>1B6D5EB6</t>
  </si>
  <si>
    <t>18FA075C</t>
  </si>
  <si>
    <t>3165D4FE</t>
  </si>
  <si>
    <t>040CAA42</t>
  </si>
  <si>
    <t>89F0A49C</t>
  </si>
  <si>
    <t>70B64FDF</t>
  </si>
  <si>
    <t>3094BFF5</t>
  </si>
  <si>
    <t>0C1F5061</t>
  </si>
  <si>
    <t>0427EFC1</t>
  </si>
  <si>
    <t>0693ED56</t>
  </si>
  <si>
    <t>838551E5</t>
  </si>
  <si>
    <t>160024C9</t>
  </si>
  <si>
    <t>3EC99AB3</t>
  </si>
  <si>
    <t>F565C021</t>
  </si>
  <si>
    <t>BB2BA4BB</t>
  </si>
  <si>
    <t>1A34F838</t>
  </si>
  <si>
    <t>613AFBB8</t>
  </si>
  <si>
    <t>631A71BB</t>
  </si>
  <si>
    <t>60E2B459</t>
  </si>
  <si>
    <t>6098A696</t>
  </si>
  <si>
    <t>43CEB744</t>
  </si>
  <si>
    <t>EEB85A79</t>
  </si>
  <si>
    <t>3D7E95EB</t>
  </si>
  <si>
    <t>B36DA62B</t>
  </si>
  <si>
    <t>F520EB6B</t>
  </si>
  <si>
    <t>A72EF6B1</t>
  </si>
  <si>
    <t>37ACA0B1</t>
  </si>
  <si>
    <t>122A1B98</t>
  </si>
  <si>
    <t>773B0FC4</t>
  </si>
  <si>
    <t>A9632A52</t>
  </si>
  <si>
    <t>75C1604A</t>
  </si>
  <si>
    <t>B70F201B</t>
  </si>
  <si>
    <t>B5F6BC50</t>
  </si>
  <si>
    <t>77ADC4CE</t>
  </si>
  <si>
    <t>3CEE867E</t>
  </si>
  <si>
    <t>B0EEB2E7</t>
  </si>
  <si>
    <t>B4D6465E</t>
  </si>
  <si>
    <t>B64AC89B</t>
  </si>
  <si>
    <t>F4F2ED67</t>
  </si>
  <si>
    <t>AA4C2091</t>
  </si>
  <si>
    <t>F9DFAD1E</t>
  </si>
  <si>
    <t>855674D4</t>
  </si>
  <si>
    <t>874CEFBE</t>
  </si>
  <si>
    <t>2226EDC3</t>
  </si>
  <si>
    <t>55D2EA88</t>
  </si>
  <si>
    <t>73860121</t>
  </si>
  <si>
    <t>DCD6889C</t>
  </si>
  <si>
    <t>A735C3AA</t>
  </si>
  <si>
    <t>C10D8678</t>
  </si>
  <si>
    <t>84E9D4A7</t>
  </si>
  <si>
    <t>805748D5</t>
  </si>
  <si>
    <t>Same cohort, shown as retention % of cohort size</t>
  </si>
  <si>
    <t>D4534644</t>
  </si>
  <si>
    <t>6BC13EC0</t>
  </si>
  <si>
    <t>78C8046F</t>
  </si>
  <si>
    <t>2AF306DE</t>
  </si>
  <si>
    <t>A3398830</t>
  </si>
  <si>
    <t>1F276F50</t>
  </si>
  <si>
    <t>5759B387</t>
  </si>
  <si>
    <t>7C465C1B</t>
  </si>
  <si>
    <t>5B3ED737</t>
  </si>
  <si>
    <t>F14ED4FA</t>
  </si>
  <si>
    <t>639D2CA1</t>
  </si>
  <si>
    <t>01F1ED46</t>
  </si>
  <si>
    <t>6BF77347</t>
  </si>
  <si>
    <t>18B8322B</t>
  </si>
  <si>
    <t>DCFC1CCB</t>
  </si>
  <si>
    <t>5948A961</t>
  </si>
  <si>
    <t>88B9E01D</t>
  </si>
  <si>
    <t>D68A9F1E</t>
  </si>
  <si>
    <t>2FB02AF0</t>
  </si>
  <si>
    <t>82DD58F3</t>
  </si>
  <si>
    <t>993DF353</t>
  </si>
  <si>
    <t>CC2AD2B1</t>
  </si>
  <si>
    <t>9C3BB420</t>
  </si>
  <si>
    <t>ED8BB07E</t>
  </si>
  <si>
    <t>B0D1D7E2</t>
  </si>
  <si>
    <t>511C2FF3</t>
  </si>
  <si>
    <t>908A816F</t>
  </si>
  <si>
    <t>0B0E771A</t>
  </si>
  <si>
    <t>B7AFFB55</t>
  </si>
  <si>
    <t>E9AA688A</t>
  </si>
  <si>
    <t>D4595CFD</t>
  </si>
  <si>
    <t>0647CE53</t>
  </si>
  <si>
    <t>C33BBD98</t>
  </si>
  <si>
    <t>1DBD60D3</t>
  </si>
  <si>
    <t>5D1A49E0</t>
  </si>
  <si>
    <t>D8FD9753</t>
  </si>
  <si>
    <t>FCAD3DEA</t>
  </si>
  <si>
    <t>10E3FA31</t>
  </si>
  <si>
    <t>99FFFDD9</t>
  </si>
  <si>
    <t>6B279C0C</t>
  </si>
  <si>
    <t>1DF0C364</t>
  </si>
  <si>
    <t>389ECF1A</t>
  </si>
  <si>
    <t>9FB63BD3</t>
  </si>
  <si>
    <t>53258869</t>
  </si>
  <si>
    <t>5D0BBE09</t>
  </si>
  <si>
    <t>1AADF8A4</t>
  </si>
  <si>
    <t>05CFCB23</t>
  </si>
  <si>
    <t>23FD274D</t>
  </si>
  <si>
    <t>E29D807F</t>
  </si>
  <si>
    <t>5FC153EA</t>
  </si>
  <si>
    <t>45BF2B8A</t>
  </si>
  <si>
    <t>E88E1974</t>
  </si>
  <si>
    <t>45143033</t>
  </si>
  <si>
    <t>72D9AEDF</t>
  </si>
  <si>
    <t>EE60E0F4</t>
  </si>
  <si>
    <t>D983D385</t>
  </si>
  <si>
    <t>B570EDAE</t>
  </si>
  <si>
    <t>BFBE68BC</t>
  </si>
  <si>
    <t>391A15A1</t>
  </si>
  <si>
    <t>88BDE8C0</t>
  </si>
  <si>
    <t>5E98277E</t>
  </si>
  <si>
    <t>9952DA95</t>
  </si>
  <si>
    <t>686E99F6</t>
  </si>
  <si>
    <t>9A724F34</t>
  </si>
  <si>
    <t>FB77F100</t>
  </si>
  <si>
    <t>A9C64CE5</t>
  </si>
  <si>
    <t>BCB4AC51</t>
  </si>
  <si>
    <t>4551F0C7</t>
  </si>
  <si>
    <t>6C2581F0</t>
  </si>
  <si>
    <t>8580A29A</t>
  </si>
  <si>
    <t>F27868E0</t>
  </si>
  <si>
    <t>5DC4A600</t>
  </si>
  <si>
    <t>8FDFB55E</t>
  </si>
  <si>
    <t>D4CCE2D6</t>
  </si>
  <si>
    <t>EAA735AC</t>
  </si>
  <si>
    <t>8D2D3F20</t>
  </si>
  <si>
    <t>BDAE18EF</t>
  </si>
  <si>
    <t>EECB79DC</t>
  </si>
  <si>
    <t>A844DC6A</t>
  </si>
  <si>
    <t>E9060C06</t>
  </si>
  <si>
    <t>CBC1A33B</t>
  </si>
  <si>
    <t>8F5092CC</t>
  </si>
  <si>
    <t>8672B919</t>
  </si>
  <si>
    <t>70DFF598</t>
  </si>
  <si>
    <t>A7857BFE</t>
  </si>
  <si>
    <t>901631AA</t>
  </si>
  <si>
    <t>215FB02A</t>
  </si>
  <si>
    <t>76849D8B</t>
  </si>
  <si>
    <t>559376C1</t>
  </si>
  <si>
    <t>29BEE22E</t>
  </si>
  <si>
    <t>FC98A9EA</t>
  </si>
  <si>
    <t>34FC827F</t>
  </si>
  <si>
    <t>03FE04C9</t>
  </si>
  <si>
    <t>38DE0F9A</t>
  </si>
  <si>
    <t>9F0A9F2D</t>
  </si>
  <si>
    <t>35E5664E</t>
  </si>
  <si>
    <t>CE43F703</t>
  </si>
  <si>
    <t>94A69C5B</t>
  </si>
  <si>
    <t>DACEADEC</t>
  </si>
  <si>
    <t>29246480</t>
  </si>
  <si>
    <t>6D9D6FC1</t>
  </si>
  <si>
    <t>68C711A9</t>
  </si>
  <si>
    <t>865EDA29</t>
  </si>
  <si>
    <t>A30DBA79</t>
  </si>
  <si>
    <t>E0F70420</t>
  </si>
  <si>
    <t>CC9B733E</t>
  </si>
  <si>
    <t>CF8ABA20</t>
  </si>
  <si>
    <t>2500C8A6</t>
  </si>
  <si>
    <t>02B58DF2</t>
  </si>
  <si>
    <t>47625EBE</t>
  </si>
  <si>
    <t>480DBFDF</t>
  </si>
  <si>
    <t>2D177DDE</t>
  </si>
  <si>
    <t>2CD827AE</t>
  </si>
  <si>
    <t>4D41029C</t>
  </si>
  <si>
    <t>07ED28F3</t>
  </si>
  <si>
    <t>19736A71</t>
  </si>
  <si>
    <t>62C36600</t>
  </si>
  <si>
    <t>2652BCD7</t>
  </si>
  <si>
    <t>C8054F76</t>
  </si>
  <si>
    <t>B7CC8B6A</t>
  </si>
  <si>
    <t>9769534A</t>
  </si>
  <si>
    <t>0C4CBAA4</t>
  </si>
  <si>
    <t>373C2D23</t>
  </si>
  <si>
    <t>4F931521</t>
  </si>
  <si>
    <t>BF08E2AF</t>
  </si>
  <si>
    <t>56C06DDB</t>
  </si>
  <si>
    <t>D9F5990E</t>
  </si>
  <si>
    <t>3FB1FED3</t>
  </si>
  <si>
    <t>7EFDD6C2</t>
  </si>
  <si>
    <t>CC6F220C</t>
  </si>
  <si>
    <t>8A0A4316</t>
  </si>
  <si>
    <t>E4533860</t>
  </si>
  <si>
    <t>9AB3BD74</t>
  </si>
  <si>
    <t>47756C78</t>
  </si>
  <si>
    <t>64D81AF3</t>
  </si>
  <si>
    <t>E4BF4A2B</t>
  </si>
  <si>
    <t>1A51752D</t>
  </si>
  <si>
    <t>5844BEF2</t>
  </si>
  <si>
    <t>2D1691FA</t>
  </si>
  <si>
    <t>3C3A4A02</t>
  </si>
  <si>
    <t>D6505283</t>
  </si>
  <si>
    <t>598DAA70</t>
  </si>
  <si>
    <t>F61EE3B2</t>
  </si>
  <si>
    <t>8CCACF1A</t>
  </si>
  <si>
    <t>E2FC1162</t>
  </si>
  <si>
    <t>16BD68A1</t>
  </si>
  <si>
    <t>3810A514</t>
  </si>
  <si>
    <t>5A5DA09E</t>
  </si>
  <si>
    <t>80A114DF</t>
  </si>
  <si>
    <t>50771D57</t>
  </si>
  <si>
    <t>D9FA0A6A</t>
  </si>
  <si>
    <t>320404C2</t>
  </si>
  <si>
    <t>4C00A4FF</t>
  </si>
  <si>
    <t>24C95122</t>
  </si>
  <si>
    <t>D8EE3105</t>
  </si>
  <si>
    <t>AE36432C</t>
  </si>
  <si>
    <t>A81BF0FC</t>
  </si>
  <si>
    <t>2E877ED4</t>
  </si>
  <si>
    <t>EB878225</t>
  </si>
  <si>
    <t>12AE06C6</t>
  </si>
  <si>
    <t>FF7CADF8</t>
  </si>
  <si>
    <t>71BA4545</t>
  </si>
  <si>
    <t>262D9D45</t>
  </si>
  <si>
    <t>3EE33A94</t>
  </si>
  <si>
    <t>88652996</t>
  </si>
  <si>
    <t>11D76487</t>
  </si>
  <si>
    <t>56E9CD74</t>
  </si>
  <si>
    <t>D8156DC2</t>
  </si>
  <si>
    <t>2EB0B319</t>
  </si>
  <si>
    <t>D421B994</t>
  </si>
  <si>
    <t>EE06FC09</t>
  </si>
  <si>
    <t>8FE040C2</t>
  </si>
  <si>
    <t>32635232</t>
  </si>
  <si>
    <t>FF65BFAE</t>
  </si>
  <si>
    <t>EDF30146</t>
  </si>
  <si>
    <t>8923AB1A</t>
  </si>
  <si>
    <t>C92070BC</t>
  </si>
  <si>
    <t>14855D5C</t>
  </si>
  <si>
    <t>98F07A09</t>
  </si>
  <si>
    <t>D4D4C6B6</t>
  </si>
  <si>
    <t>DF9427C1</t>
  </si>
  <si>
    <t>7F9BA667</t>
  </si>
  <si>
    <t>EAA82DF4</t>
  </si>
  <si>
    <t>834C909F</t>
  </si>
  <si>
    <t>5ACA782E</t>
  </si>
  <si>
    <t>375E3A69</t>
  </si>
  <si>
    <t>D1AEA2B9</t>
  </si>
  <si>
    <t>59785CDF</t>
  </si>
  <si>
    <t>1FA96C9B</t>
  </si>
  <si>
    <t>08A106EF</t>
  </si>
  <si>
    <t>ADB53EF6</t>
  </si>
  <si>
    <t>99D8DEFD</t>
  </si>
  <si>
    <t>F7002F87</t>
  </si>
  <si>
    <t>4C97E700</t>
  </si>
  <si>
    <t>97C4F3DE</t>
  </si>
  <si>
    <t>2EEAC5C7</t>
  </si>
  <si>
    <t>F7B39427</t>
  </si>
  <si>
    <t>D8EABD44</t>
  </si>
  <si>
    <t>D5DA9FCB</t>
  </si>
  <si>
    <t>EC4C6A99</t>
  </si>
  <si>
    <t>1976F69F</t>
  </si>
  <si>
    <t>35FD1FD8</t>
  </si>
  <si>
    <t>C96DFA3E</t>
  </si>
  <si>
    <t>34EA2A9A</t>
  </si>
  <si>
    <t>CA2A4F20</t>
  </si>
  <si>
    <t>138C9DC8</t>
  </si>
  <si>
    <t>C9686E27</t>
  </si>
  <si>
    <t>8E51F9AC</t>
  </si>
  <si>
    <t>3F805285</t>
  </si>
  <si>
    <t>6362A878</t>
  </si>
  <si>
    <t>597F808C</t>
  </si>
  <si>
    <t>AE727699</t>
  </si>
  <si>
    <t>BB700AA7</t>
  </si>
  <si>
    <t>5A288817</t>
  </si>
  <si>
    <t>282D7677</t>
  </si>
  <si>
    <t>E76FAA06</t>
  </si>
  <si>
    <t>906E1EE4</t>
  </si>
  <si>
    <t>6B4EEC2A</t>
  </si>
  <si>
    <t>F3FDAE24</t>
  </si>
  <si>
    <t>9A04A098</t>
  </si>
  <si>
    <t>A6B074D5</t>
  </si>
  <si>
    <t>00015390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</si>
</sst>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00"/>
    <numFmt numFmtId="166" formatCode="0.0%"/>
    <numFmt numFmtId="167" formatCode="yyyy\-mm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1F4E78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i/>
      <sz val="10.0"/>
      <color rgb="FF555555"/>
      <name val="Arial"/>
    </font>
    <font>
      <i/>
      <sz val="10.0"/>
      <color theme="1"/>
      <name val="Arial"/>
    </font>
    <font>
      <b/>
      <sz val="12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8">
    <border/>
    <border>
      <left/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2" fillId="3" fontId="5" numFmtId="0" xfId="0" applyAlignment="1" applyBorder="1" applyFill="1" applyFont="1">
      <alignment readingOrder="0" shrinkToFit="0" vertical="center" wrapText="0"/>
    </xf>
    <xf borderId="3" fillId="3" fontId="1" numFmtId="0" xfId="0" applyAlignment="1" applyBorder="1" applyFont="1">
      <alignment vertical="center"/>
    </xf>
    <xf borderId="4" fillId="3" fontId="9" numFmtId="3" xfId="0" applyAlignment="1" applyBorder="1" applyFont="1" applyNumberFormat="1">
      <alignment horizontal="left" shrinkToFit="0" vertical="center" wrapText="0"/>
    </xf>
    <xf borderId="2" fillId="3" fontId="5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4" fillId="3" fontId="6" numFmtId="164" xfId="0" applyAlignment="1" applyBorder="1" applyFont="1" applyNumberFormat="1">
      <alignment horizontal="left" shrinkToFit="0" vertical="center" wrapText="0"/>
    </xf>
    <xf borderId="5" fillId="0" fontId="6" numFmtId="0" xfId="0" applyAlignment="1" applyBorder="1" applyFont="1">
      <alignment shrinkToFit="0" vertical="bottom" wrapText="0"/>
    </xf>
    <xf borderId="5" fillId="0" fontId="6" numFmtId="3" xfId="0" applyAlignment="1" applyBorder="1" applyFont="1" applyNumberFormat="1">
      <alignment horizontal="left" shrinkToFit="0" vertical="bottom" wrapText="0"/>
    </xf>
    <xf borderId="5" fillId="0" fontId="6" numFmtId="4" xfId="0" applyAlignment="1" applyBorder="1" applyFont="1" applyNumberFormat="1">
      <alignment horizontal="left" shrinkToFit="0" vertical="bottom" wrapText="0"/>
    </xf>
    <xf borderId="4" fillId="3" fontId="6" numFmtId="0" xfId="0" applyAlignment="1" applyBorder="1" applyFont="1">
      <alignment horizontal="left" shrinkToFit="0" vertical="center" wrapText="0"/>
    </xf>
    <xf borderId="4" fillId="3" fontId="1" numFmtId="0" xfId="0" applyAlignment="1" applyBorder="1" applyFont="1">
      <alignment horizontal="left" vertical="center"/>
    </xf>
    <xf borderId="0" fillId="0" fontId="4" numFmtId="0" xfId="0" applyAlignment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0" fontId="6" numFmtId="165" xfId="0" applyAlignment="1" applyBorder="1" applyFont="1" applyNumberFormat="1">
      <alignment horizontal="left" shrinkToFit="0" vertical="bottom" wrapText="0"/>
    </xf>
    <xf borderId="5" fillId="0" fontId="6" numFmtId="3" xfId="0" applyAlignment="1" applyBorder="1" applyFont="1" applyNumberFormat="1">
      <alignment shrinkToFit="0" vertical="center" wrapText="0"/>
    </xf>
    <xf borderId="5" fillId="0" fontId="6" numFmtId="166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center" wrapText="0"/>
    </xf>
    <xf borderId="6" fillId="0" fontId="6" numFmtId="0" xfId="0" applyAlignment="1" applyBorder="1" applyFont="1">
      <alignment shrinkToFit="0" vertical="bottom" wrapText="0"/>
    </xf>
    <xf borderId="6" fillId="0" fontId="6" numFmtId="166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center" wrapText="0"/>
    </xf>
    <xf borderId="4" fillId="0" fontId="4" numFmtId="166" xfId="0" applyAlignment="1" applyBorder="1" applyFont="1" applyNumberFormat="1">
      <alignment shrinkToFit="0" vertical="bottom" wrapText="0"/>
    </xf>
    <xf borderId="1" fillId="2" fontId="3" numFmtId="167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0"/>
    </xf>
    <xf borderId="5" fillId="4" fontId="4" numFmtId="0" xfId="0" applyAlignment="1" applyBorder="1" applyFill="1" applyFont="1">
      <alignment horizontal="center" shrinkToFit="0" vertical="center" wrapText="0"/>
    </xf>
    <xf borderId="5" fillId="4" fontId="4" numFmtId="164" xfId="0" applyAlignment="1" applyBorder="1" applyFont="1" applyNumberFormat="1">
      <alignment shrinkToFit="0" vertical="center" wrapText="0"/>
    </xf>
    <xf borderId="5" fillId="5" fontId="4" numFmtId="167" xfId="0" applyAlignment="1" applyBorder="1" applyFill="1" applyFont="1" applyNumberFormat="1">
      <alignment shrinkToFit="0" vertical="center" wrapText="0"/>
    </xf>
    <xf borderId="5" fillId="4" fontId="4" numFmtId="0" xfId="0" applyAlignment="1" applyBorder="1" applyFont="1">
      <alignment shrinkToFit="0" vertical="center" wrapText="0"/>
    </xf>
    <xf borderId="5" fillId="4" fontId="4" numFmtId="3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vertical="center"/>
    </xf>
    <xf borderId="5" fillId="0" fontId="6" numFmtId="166" xfId="0" applyAlignment="1" applyBorder="1" applyFont="1" applyNumberFormat="1">
      <alignment shrinkToFit="0" vertical="center" wrapText="0"/>
    </xf>
    <xf borderId="2" fillId="3" fontId="4" numFmtId="0" xfId="0" applyAlignment="1" applyBorder="1" applyFont="1">
      <alignment readingOrder="0" shrinkToFit="0" vertical="center" wrapText="0"/>
    </xf>
    <xf borderId="3" fillId="0" fontId="10" numFmtId="0" xfId="0" applyBorder="1" applyFont="1"/>
    <xf borderId="3" fillId="3" fontId="9" numFmtId="0" xfId="0" applyAlignment="1" applyBorder="1" applyFont="1">
      <alignment shrinkToFit="0" vertical="center" wrapText="0"/>
    </xf>
    <xf borderId="7" fillId="0" fontId="10" numFmtId="0" xfId="0" applyBorder="1" applyFont="1"/>
    <xf borderId="0" fillId="0" fontId="7" numFmtId="0" xfId="0" applyAlignment="1" applyFont="1">
      <alignment readingOrder="0" shrinkToFit="0" vertical="center" wrapText="1"/>
    </xf>
    <xf borderId="5" fillId="0" fontId="6" numFmtId="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666666"/>
                </a:solidFill>
                <a:latin typeface="Calibri"/>
              </a:defRPr>
            </a:pPr>
            <a:r>
              <a:rPr b="1" i="0" sz="1800">
                <a:solidFill>
                  <a:srgbClr val="666666"/>
                </a:solidFill>
                <a:latin typeface="Calibri"/>
              </a:rPr>
              <a:t>Transactions by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Txn Count</c:v>
          </c:tx>
          <c:spPr>
            <a:solidFill>
              <a:srgbClr val="4F81B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'Q2 - Category Counts'!$B$6:$B$10</c:f>
            </c:strRef>
          </c:cat>
          <c:val>
            <c:numRef>
              <c:f>'Q2 - Category Counts'!$C$6:$C$10</c:f>
              <c:numCache/>
            </c:numRef>
          </c:val>
        </c:ser>
        <c:axId val="1457660258"/>
        <c:axId val="784171952"/>
      </c:bar3DChart>
      <c:catAx>
        <c:axId val="1457660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4171952"/>
      </c:catAx>
      <c:valAx>
        <c:axId val="784171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Txn Count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76602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666666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11</xdr:row>
      <xdr:rowOff>85725</xdr:rowOff>
    </xdr:from>
    <xdr:ext cx="4791075" cy="3019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152400</xdr:rowOff>
    </xdr:from>
    <xdr:ext cx="4705350" cy="318135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3</xdr:row>
      <xdr:rowOff>28575</xdr:rowOff>
    </xdr:from>
    <xdr:ext cx="3810000" cy="3305175"/>
    <xdr:pic>
      <xdr:nvPicPr>
        <xdr:cNvPr descr="Picture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23</xdr:row>
      <xdr:rowOff>9525</xdr:rowOff>
    </xdr:from>
    <xdr:ext cx="10477500" cy="6429375"/>
    <xdr:pic>
      <xdr:nvPicPr>
        <xdr:cNvPr descr="Pictur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" t="s">
        <v>0</v>
      </c>
    </row>
    <row r="3">
      <c r="A3" s="4" t="s">
        <v>2</v>
      </c>
    </row>
    <row r="4" ht="48.0" customHeight="1">
      <c r="A4" s="5" t="s">
        <v>5</v>
      </c>
    </row>
    <row r="6">
      <c r="A6" s="4" t="s">
        <v>8</v>
      </c>
    </row>
    <row r="7">
      <c r="A7" s="6" t="s">
        <v>11</v>
      </c>
    </row>
    <row r="8">
      <c r="A8" s="6" t="s">
        <v>16</v>
      </c>
    </row>
    <row r="9">
      <c r="A9" s="6" t="s">
        <v>19</v>
      </c>
    </row>
    <row r="11">
      <c r="A11" s="4" t="s">
        <v>20</v>
      </c>
    </row>
    <row r="12" ht="31.5" customHeight="1">
      <c r="A12" s="5" t="s">
        <v>21</v>
      </c>
    </row>
    <row r="14">
      <c r="A14" s="4" t="s">
        <v>22</v>
      </c>
    </row>
    <row r="15">
      <c r="A15" s="6" t="s">
        <v>23</v>
      </c>
    </row>
    <row r="17">
      <c r="A17" s="4" t="s">
        <v>24</v>
      </c>
    </row>
    <row r="18">
      <c r="A18" s="5" t="s">
        <v>25</v>
      </c>
    </row>
    <row r="20">
      <c r="A20" s="12" t="s">
        <v>26</v>
      </c>
    </row>
    <row r="21" ht="15.75" customHeight="1">
      <c r="A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9.0"/>
    <col customWidth="1" min="3" max="3" width="15.0"/>
    <col customWidth="1" min="4" max="4" width="11.0"/>
    <col customWidth="1" min="5" max="5" width="16.0"/>
    <col customWidth="1" min="6" max="6" width="12.0"/>
    <col customWidth="1" min="7" max="7" width="20.0"/>
    <col customWidth="1" min="8" max="8" width="15.0"/>
    <col customWidth="1" min="9" max="9" width="10.0"/>
    <col customWidth="1" min="10" max="26" width="8.71"/>
  </cols>
  <sheetData>
    <row r="1">
      <c r="A1" s="3" t="s">
        <v>1</v>
      </c>
      <c r="B1" s="3" t="s">
        <v>3</v>
      </c>
      <c r="C1" s="3" t="s">
        <v>4</v>
      </c>
      <c r="D1" s="3" t="s">
        <v>6</v>
      </c>
      <c r="E1" s="3" t="s">
        <v>7</v>
      </c>
      <c r="F1" s="3" t="s">
        <v>9</v>
      </c>
      <c r="G1" s="3" t="s">
        <v>10</v>
      </c>
      <c r="H1" s="3" t="s">
        <v>12</v>
      </c>
      <c r="I1" s="3" t="s">
        <v>13</v>
      </c>
    </row>
    <row r="2">
      <c r="A2" s="8">
        <v>43832.0</v>
      </c>
      <c r="B2" s="9">
        <v>7.0</v>
      </c>
      <c r="C2" s="9">
        <v>5496.0</v>
      </c>
      <c r="D2" s="10" t="s">
        <v>15</v>
      </c>
      <c r="E2" s="10" t="s">
        <v>17</v>
      </c>
      <c r="F2" s="10" t="s">
        <v>18</v>
      </c>
      <c r="G2" s="10">
        <f t="shared" ref="G2:G468" si="1">IF(E2="CREDIT",C2,"")</f>
        <v>5496</v>
      </c>
      <c r="H2" s="9" t="str">
        <f t="shared" ref="H2:H468" si="2">IF(AND(D2="IMPS",E2="DEBIT"),C2,"")</f>
        <v/>
      </c>
      <c r="I2" s="10">
        <f t="shared" ref="I2:I468" si="3">MONTH(A2)</f>
        <v>1</v>
      </c>
    </row>
    <row r="3">
      <c r="A3" s="8">
        <v>43832.0</v>
      </c>
      <c r="B3" s="9">
        <v>5.0</v>
      </c>
      <c r="C3" s="9">
        <v>4994.0</v>
      </c>
      <c r="D3" s="10" t="s">
        <v>15</v>
      </c>
      <c r="E3" s="10" t="s">
        <v>29</v>
      </c>
      <c r="F3" s="10" t="s">
        <v>30</v>
      </c>
      <c r="G3" s="9" t="str">
        <f t="shared" si="1"/>
        <v/>
      </c>
      <c r="H3" s="10">
        <f t="shared" si="2"/>
        <v>4994</v>
      </c>
      <c r="I3" s="10">
        <f t="shared" si="3"/>
        <v>1</v>
      </c>
    </row>
    <row r="4">
      <c r="A4" s="8">
        <v>43832.0</v>
      </c>
      <c r="B4" s="9">
        <v>4.0</v>
      </c>
      <c r="C4" s="9">
        <v>2282.0</v>
      </c>
      <c r="D4" s="10" t="s">
        <v>31</v>
      </c>
      <c r="E4" s="10" t="s">
        <v>17</v>
      </c>
      <c r="F4" s="10" t="s">
        <v>32</v>
      </c>
      <c r="G4" s="10">
        <f t="shared" si="1"/>
        <v>2282</v>
      </c>
      <c r="H4" s="9" t="str">
        <f t="shared" si="2"/>
        <v/>
      </c>
      <c r="I4" s="10">
        <f t="shared" si="3"/>
        <v>1</v>
      </c>
    </row>
    <row r="5">
      <c r="A5" s="8">
        <v>43833.0</v>
      </c>
      <c r="B5" s="9">
        <v>3.0</v>
      </c>
      <c r="C5" s="9">
        <v>7732.0</v>
      </c>
      <c r="D5" s="10" t="s">
        <v>31</v>
      </c>
      <c r="E5" s="10" t="s">
        <v>17</v>
      </c>
      <c r="F5" s="10" t="s">
        <v>33</v>
      </c>
      <c r="G5" s="10">
        <f t="shared" si="1"/>
        <v>7732</v>
      </c>
      <c r="H5" s="9" t="str">
        <f t="shared" si="2"/>
        <v/>
      </c>
      <c r="I5" s="10">
        <f t="shared" si="3"/>
        <v>1</v>
      </c>
    </row>
    <row r="6">
      <c r="A6" s="8">
        <v>43833.0</v>
      </c>
      <c r="B6" s="9">
        <v>2.0</v>
      </c>
      <c r="C6" s="9">
        <v>2462.0</v>
      </c>
      <c r="D6" s="10" t="s">
        <v>34</v>
      </c>
      <c r="E6" s="10" t="s">
        <v>17</v>
      </c>
      <c r="F6" s="10" t="s">
        <v>35</v>
      </c>
      <c r="G6" s="10">
        <f t="shared" si="1"/>
        <v>2462</v>
      </c>
      <c r="H6" s="9" t="str">
        <f t="shared" si="2"/>
        <v/>
      </c>
      <c r="I6" s="10">
        <f t="shared" si="3"/>
        <v>1</v>
      </c>
    </row>
    <row r="7">
      <c r="A7" s="8">
        <v>43834.0</v>
      </c>
      <c r="B7" s="9">
        <v>9.0</v>
      </c>
      <c r="C7" s="9">
        <v>1896.0</v>
      </c>
      <c r="D7" s="10" t="s">
        <v>15</v>
      </c>
      <c r="E7" s="10" t="s">
        <v>17</v>
      </c>
      <c r="F7" s="10" t="s">
        <v>36</v>
      </c>
      <c r="G7" s="10">
        <f t="shared" si="1"/>
        <v>1896</v>
      </c>
      <c r="H7" s="9" t="str">
        <f t="shared" si="2"/>
        <v/>
      </c>
      <c r="I7" s="10">
        <f t="shared" si="3"/>
        <v>1</v>
      </c>
    </row>
    <row r="8">
      <c r="A8" s="8">
        <v>43834.0</v>
      </c>
      <c r="B8" s="9">
        <v>3.0</v>
      </c>
      <c r="C8" s="9">
        <v>5742.0</v>
      </c>
      <c r="D8" s="10" t="s">
        <v>15</v>
      </c>
      <c r="E8" s="10" t="s">
        <v>29</v>
      </c>
      <c r="F8" s="10" t="s">
        <v>38</v>
      </c>
      <c r="G8" s="9" t="str">
        <f t="shared" si="1"/>
        <v/>
      </c>
      <c r="H8" s="10">
        <f t="shared" si="2"/>
        <v>5742</v>
      </c>
      <c r="I8" s="10">
        <f t="shared" si="3"/>
        <v>1</v>
      </c>
    </row>
    <row r="9">
      <c r="A9" s="8">
        <v>43835.0</v>
      </c>
      <c r="B9" s="9">
        <v>1.0</v>
      </c>
      <c r="C9" s="9">
        <v>846.0</v>
      </c>
      <c r="D9" s="10" t="s">
        <v>31</v>
      </c>
      <c r="E9" s="10" t="s">
        <v>17</v>
      </c>
      <c r="F9" s="10" t="s">
        <v>39</v>
      </c>
      <c r="G9" s="10">
        <f t="shared" si="1"/>
        <v>846</v>
      </c>
      <c r="H9" s="9" t="str">
        <f t="shared" si="2"/>
        <v/>
      </c>
      <c r="I9" s="10">
        <f t="shared" si="3"/>
        <v>1</v>
      </c>
    </row>
    <row r="10">
      <c r="A10" s="8">
        <v>43836.0</v>
      </c>
      <c r="B10" s="9">
        <v>7.0</v>
      </c>
      <c r="C10" s="9">
        <v>7646.0</v>
      </c>
      <c r="D10" s="10" t="s">
        <v>15</v>
      </c>
      <c r="E10" s="10" t="s">
        <v>29</v>
      </c>
      <c r="F10" s="10" t="s">
        <v>40</v>
      </c>
      <c r="G10" s="9" t="str">
        <f t="shared" si="1"/>
        <v/>
      </c>
      <c r="H10" s="10">
        <f t="shared" si="2"/>
        <v>7646</v>
      </c>
      <c r="I10" s="10">
        <f t="shared" si="3"/>
        <v>1</v>
      </c>
    </row>
    <row r="11">
      <c r="A11" s="8">
        <v>43836.0</v>
      </c>
      <c r="B11" s="9">
        <v>8.0</v>
      </c>
      <c r="C11" s="9">
        <v>5892.0</v>
      </c>
      <c r="D11" s="10" t="s">
        <v>15</v>
      </c>
      <c r="E11" s="10" t="s">
        <v>17</v>
      </c>
      <c r="F11" s="10" t="s">
        <v>41</v>
      </c>
      <c r="G11" s="10">
        <f t="shared" si="1"/>
        <v>5892</v>
      </c>
      <c r="H11" s="9" t="str">
        <f t="shared" si="2"/>
        <v/>
      </c>
      <c r="I11" s="10">
        <f t="shared" si="3"/>
        <v>1</v>
      </c>
    </row>
    <row r="12">
      <c r="A12" s="8">
        <v>43836.0</v>
      </c>
      <c r="B12" s="9">
        <v>7.0</v>
      </c>
      <c r="C12" s="9">
        <v>628.0</v>
      </c>
      <c r="D12" s="10" t="s">
        <v>42</v>
      </c>
      <c r="E12" s="10" t="s">
        <v>17</v>
      </c>
      <c r="F12" s="10" t="s">
        <v>43</v>
      </c>
      <c r="G12" s="10">
        <f t="shared" si="1"/>
        <v>628</v>
      </c>
      <c r="H12" s="9" t="str">
        <f t="shared" si="2"/>
        <v/>
      </c>
      <c r="I12" s="10">
        <f t="shared" si="3"/>
        <v>1</v>
      </c>
    </row>
    <row r="13">
      <c r="A13" s="8">
        <v>43837.0</v>
      </c>
      <c r="B13" s="9">
        <v>2.0</v>
      </c>
      <c r="C13" s="9">
        <v>8911.0</v>
      </c>
      <c r="D13" s="10" t="s">
        <v>15</v>
      </c>
      <c r="E13" s="10" t="s">
        <v>17</v>
      </c>
      <c r="F13" s="10" t="s">
        <v>46</v>
      </c>
      <c r="G13" s="10">
        <f t="shared" si="1"/>
        <v>8911</v>
      </c>
      <c r="H13" s="9" t="str">
        <f t="shared" si="2"/>
        <v/>
      </c>
      <c r="I13" s="10">
        <f t="shared" si="3"/>
        <v>1</v>
      </c>
    </row>
    <row r="14">
      <c r="A14" s="8">
        <v>43838.0</v>
      </c>
      <c r="B14" s="9">
        <v>5.0</v>
      </c>
      <c r="C14" s="9">
        <v>6252.0</v>
      </c>
      <c r="D14" s="10" t="s">
        <v>34</v>
      </c>
      <c r="E14" s="10" t="s">
        <v>17</v>
      </c>
      <c r="F14" s="10" t="s">
        <v>48</v>
      </c>
      <c r="G14" s="10">
        <f t="shared" si="1"/>
        <v>6252</v>
      </c>
      <c r="H14" s="9" t="str">
        <f t="shared" si="2"/>
        <v/>
      </c>
      <c r="I14" s="10">
        <f t="shared" si="3"/>
        <v>1</v>
      </c>
    </row>
    <row r="15">
      <c r="A15" s="8">
        <v>43838.0</v>
      </c>
      <c r="B15" s="9">
        <v>1.0</v>
      </c>
      <c r="C15" s="9">
        <v>585.0</v>
      </c>
      <c r="D15" s="10" t="s">
        <v>15</v>
      </c>
      <c r="E15" s="10" t="s">
        <v>29</v>
      </c>
      <c r="F15" s="10" t="s">
        <v>51</v>
      </c>
      <c r="G15" s="9" t="str">
        <f t="shared" si="1"/>
        <v/>
      </c>
      <c r="H15" s="10">
        <f t="shared" si="2"/>
        <v>585</v>
      </c>
      <c r="I15" s="10">
        <f t="shared" si="3"/>
        <v>1</v>
      </c>
    </row>
    <row r="16">
      <c r="A16" s="8">
        <v>43839.0</v>
      </c>
      <c r="B16" s="9">
        <v>1.0</v>
      </c>
      <c r="C16" s="9">
        <v>1231.0</v>
      </c>
      <c r="D16" s="10" t="s">
        <v>15</v>
      </c>
      <c r="E16" s="10" t="s">
        <v>29</v>
      </c>
      <c r="F16" s="10" t="s">
        <v>53</v>
      </c>
      <c r="G16" s="9" t="str">
        <f t="shared" si="1"/>
        <v/>
      </c>
      <c r="H16" s="10">
        <f t="shared" si="2"/>
        <v>1231</v>
      </c>
      <c r="I16" s="10">
        <f t="shared" si="3"/>
        <v>1</v>
      </c>
    </row>
    <row r="17">
      <c r="A17" s="8">
        <v>43839.0</v>
      </c>
      <c r="B17" s="9">
        <v>5.0</v>
      </c>
      <c r="C17" s="9">
        <v>9283.0</v>
      </c>
      <c r="D17" s="10" t="s">
        <v>15</v>
      </c>
      <c r="E17" s="10" t="s">
        <v>17</v>
      </c>
      <c r="F17" s="10" t="s">
        <v>54</v>
      </c>
      <c r="G17" s="10">
        <f t="shared" si="1"/>
        <v>9283</v>
      </c>
      <c r="H17" s="9" t="str">
        <f t="shared" si="2"/>
        <v/>
      </c>
      <c r="I17" s="10">
        <f t="shared" si="3"/>
        <v>1</v>
      </c>
    </row>
    <row r="18">
      <c r="A18" s="8">
        <v>43839.0</v>
      </c>
      <c r="B18" s="9">
        <v>7.0</v>
      </c>
      <c r="C18" s="9">
        <v>7304.0</v>
      </c>
      <c r="D18" s="10" t="s">
        <v>15</v>
      </c>
      <c r="E18" s="10" t="s">
        <v>29</v>
      </c>
      <c r="F18" s="10" t="s">
        <v>57</v>
      </c>
      <c r="G18" s="9" t="str">
        <f t="shared" si="1"/>
        <v/>
      </c>
      <c r="H18" s="10">
        <f t="shared" si="2"/>
        <v>7304</v>
      </c>
      <c r="I18" s="10">
        <f t="shared" si="3"/>
        <v>1</v>
      </c>
    </row>
    <row r="19">
      <c r="A19" s="8">
        <v>43841.0</v>
      </c>
      <c r="B19" s="9">
        <v>7.0</v>
      </c>
      <c r="C19" s="9">
        <v>3741.0</v>
      </c>
      <c r="D19" s="10" t="s">
        <v>31</v>
      </c>
      <c r="E19" s="10" t="s">
        <v>29</v>
      </c>
      <c r="F19" s="10" t="s">
        <v>58</v>
      </c>
      <c r="G19" s="9" t="str">
        <f t="shared" si="1"/>
        <v/>
      </c>
      <c r="H19" s="9" t="str">
        <f t="shared" si="2"/>
        <v/>
      </c>
      <c r="I19" s="10">
        <f t="shared" si="3"/>
        <v>1</v>
      </c>
    </row>
    <row r="20">
      <c r="A20" s="8">
        <v>43842.0</v>
      </c>
      <c r="B20" s="9">
        <v>4.0</v>
      </c>
      <c r="C20" s="9">
        <v>1912.0</v>
      </c>
      <c r="D20" s="10" t="s">
        <v>34</v>
      </c>
      <c r="E20" s="10" t="s">
        <v>17</v>
      </c>
      <c r="F20" s="10" t="s">
        <v>60</v>
      </c>
      <c r="G20" s="10">
        <f t="shared" si="1"/>
        <v>1912</v>
      </c>
      <c r="H20" s="9" t="str">
        <f t="shared" si="2"/>
        <v/>
      </c>
      <c r="I20" s="10">
        <f t="shared" si="3"/>
        <v>1</v>
      </c>
    </row>
    <row r="21" ht="15.75" customHeight="1">
      <c r="A21" s="8">
        <v>43842.0</v>
      </c>
      <c r="B21" s="9">
        <v>7.0</v>
      </c>
      <c r="C21" s="9">
        <v>8397.0</v>
      </c>
      <c r="D21" s="10" t="s">
        <v>34</v>
      </c>
      <c r="E21" s="10" t="s">
        <v>17</v>
      </c>
      <c r="F21" s="10" t="s">
        <v>62</v>
      </c>
      <c r="G21" s="10">
        <f t="shared" si="1"/>
        <v>8397</v>
      </c>
      <c r="H21" s="9" t="str">
        <f t="shared" si="2"/>
        <v/>
      </c>
      <c r="I21" s="10">
        <f t="shared" si="3"/>
        <v>1</v>
      </c>
    </row>
    <row r="22" ht="15.75" customHeight="1">
      <c r="A22" s="8">
        <v>43842.0</v>
      </c>
      <c r="B22" s="9">
        <v>5.0</v>
      </c>
      <c r="C22" s="9">
        <v>2067.0</v>
      </c>
      <c r="D22" s="10" t="s">
        <v>15</v>
      </c>
      <c r="E22" s="10" t="s">
        <v>17</v>
      </c>
      <c r="F22" s="10" t="s">
        <v>65</v>
      </c>
      <c r="G22" s="10">
        <f t="shared" si="1"/>
        <v>2067</v>
      </c>
      <c r="H22" s="9" t="str">
        <f t="shared" si="2"/>
        <v/>
      </c>
      <c r="I22" s="10">
        <f t="shared" si="3"/>
        <v>1</v>
      </c>
    </row>
    <row r="23" ht="15.75" customHeight="1">
      <c r="A23" s="8">
        <v>43842.0</v>
      </c>
      <c r="B23" s="9">
        <v>2.0</v>
      </c>
      <c r="C23" s="9">
        <v>2139.0</v>
      </c>
      <c r="D23" s="10" t="s">
        <v>34</v>
      </c>
      <c r="E23" s="10" t="s">
        <v>29</v>
      </c>
      <c r="F23" s="10" t="s">
        <v>67</v>
      </c>
      <c r="G23" s="9" t="str">
        <f t="shared" si="1"/>
        <v/>
      </c>
      <c r="H23" s="9" t="str">
        <f t="shared" si="2"/>
        <v/>
      </c>
      <c r="I23" s="10">
        <f t="shared" si="3"/>
        <v>1</v>
      </c>
    </row>
    <row r="24" ht="15.75" customHeight="1">
      <c r="A24" s="8">
        <v>43844.0</v>
      </c>
      <c r="B24" s="9">
        <v>2.0</v>
      </c>
      <c r="C24" s="9">
        <v>8867.0</v>
      </c>
      <c r="D24" s="10" t="s">
        <v>15</v>
      </c>
      <c r="E24" s="10" t="s">
        <v>17</v>
      </c>
      <c r="F24" s="10" t="s">
        <v>68</v>
      </c>
      <c r="G24" s="10">
        <f t="shared" si="1"/>
        <v>8867</v>
      </c>
      <c r="H24" s="9" t="str">
        <f t="shared" si="2"/>
        <v/>
      </c>
      <c r="I24" s="10">
        <f t="shared" si="3"/>
        <v>1</v>
      </c>
    </row>
    <row r="25" ht="15.75" customHeight="1">
      <c r="A25" s="8">
        <v>43844.0</v>
      </c>
      <c r="B25" s="9">
        <v>9.0</v>
      </c>
      <c r="C25" s="9">
        <v>8769.0</v>
      </c>
      <c r="D25" s="10" t="s">
        <v>34</v>
      </c>
      <c r="E25" s="10" t="s">
        <v>17</v>
      </c>
      <c r="F25" s="10" t="s">
        <v>70</v>
      </c>
      <c r="G25" s="10">
        <f t="shared" si="1"/>
        <v>8769</v>
      </c>
      <c r="H25" s="9" t="str">
        <f t="shared" si="2"/>
        <v/>
      </c>
      <c r="I25" s="10">
        <f t="shared" si="3"/>
        <v>1</v>
      </c>
    </row>
    <row r="26" ht="15.75" customHeight="1">
      <c r="A26" s="8">
        <v>43845.0</v>
      </c>
      <c r="B26" s="9">
        <v>7.0</v>
      </c>
      <c r="C26" s="9">
        <v>9642.0</v>
      </c>
      <c r="D26" s="10" t="s">
        <v>42</v>
      </c>
      <c r="E26" s="10" t="s">
        <v>17</v>
      </c>
      <c r="F26" s="10" t="s">
        <v>73</v>
      </c>
      <c r="G26" s="10">
        <f t="shared" si="1"/>
        <v>9642</v>
      </c>
      <c r="H26" s="9" t="str">
        <f t="shared" si="2"/>
        <v/>
      </c>
      <c r="I26" s="10">
        <f t="shared" si="3"/>
        <v>1</v>
      </c>
    </row>
    <row r="27" ht="15.75" customHeight="1">
      <c r="A27" s="8">
        <v>43845.0</v>
      </c>
      <c r="B27" s="9">
        <v>6.0</v>
      </c>
      <c r="C27" s="9">
        <v>3684.0</v>
      </c>
      <c r="D27" s="10" t="s">
        <v>34</v>
      </c>
      <c r="E27" s="10" t="s">
        <v>17</v>
      </c>
      <c r="F27" s="10" t="s">
        <v>75</v>
      </c>
      <c r="G27" s="10">
        <f t="shared" si="1"/>
        <v>3684</v>
      </c>
      <c r="H27" s="9" t="str">
        <f t="shared" si="2"/>
        <v/>
      </c>
      <c r="I27" s="10">
        <f t="shared" si="3"/>
        <v>1</v>
      </c>
    </row>
    <row r="28" ht="15.75" customHeight="1">
      <c r="A28" s="8">
        <v>43845.0</v>
      </c>
      <c r="B28" s="9">
        <v>5.0</v>
      </c>
      <c r="C28" s="9">
        <v>547.0</v>
      </c>
      <c r="D28" s="10" t="s">
        <v>31</v>
      </c>
      <c r="E28" s="10" t="s">
        <v>17</v>
      </c>
      <c r="F28" s="10" t="s">
        <v>80</v>
      </c>
      <c r="G28" s="10">
        <f t="shared" si="1"/>
        <v>547</v>
      </c>
      <c r="H28" s="9" t="str">
        <f t="shared" si="2"/>
        <v/>
      </c>
      <c r="I28" s="10">
        <f t="shared" si="3"/>
        <v>1</v>
      </c>
    </row>
    <row r="29" ht="15.75" customHeight="1">
      <c r="A29" s="8">
        <v>43846.0</v>
      </c>
      <c r="B29" s="9">
        <v>8.0</v>
      </c>
      <c r="C29" s="9">
        <v>9525.0</v>
      </c>
      <c r="D29" s="10" t="s">
        <v>15</v>
      </c>
      <c r="E29" s="10" t="s">
        <v>29</v>
      </c>
      <c r="F29" s="10" t="s">
        <v>83</v>
      </c>
      <c r="G29" s="9" t="str">
        <f t="shared" si="1"/>
        <v/>
      </c>
      <c r="H29" s="10">
        <f t="shared" si="2"/>
        <v>9525</v>
      </c>
      <c r="I29" s="10">
        <f t="shared" si="3"/>
        <v>1</v>
      </c>
    </row>
    <row r="30" ht="15.75" customHeight="1">
      <c r="A30" s="8">
        <v>43846.0</v>
      </c>
      <c r="B30" s="9">
        <v>10.0</v>
      </c>
      <c r="C30" s="9">
        <v>8238.0</v>
      </c>
      <c r="D30" s="10" t="s">
        <v>15</v>
      </c>
      <c r="E30" s="10" t="s">
        <v>29</v>
      </c>
      <c r="F30" s="10" t="s">
        <v>85</v>
      </c>
      <c r="G30" s="9" t="str">
        <f t="shared" si="1"/>
        <v/>
      </c>
      <c r="H30" s="10">
        <f t="shared" si="2"/>
        <v>8238</v>
      </c>
      <c r="I30" s="10">
        <f t="shared" si="3"/>
        <v>1</v>
      </c>
    </row>
    <row r="31" ht="15.75" customHeight="1">
      <c r="A31" s="8">
        <v>43846.0</v>
      </c>
      <c r="B31" s="9">
        <v>10.0</v>
      </c>
      <c r="C31" s="9">
        <v>3071.0</v>
      </c>
      <c r="D31" s="10" t="s">
        <v>15</v>
      </c>
      <c r="E31" s="10" t="s">
        <v>29</v>
      </c>
      <c r="F31" s="10" t="s">
        <v>86</v>
      </c>
      <c r="G31" s="9" t="str">
        <f t="shared" si="1"/>
        <v/>
      </c>
      <c r="H31" s="10">
        <f t="shared" si="2"/>
        <v>3071</v>
      </c>
      <c r="I31" s="10">
        <f t="shared" si="3"/>
        <v>1</v>
      </c>
    </row>
    <row r="32" ht="15.75" customHeight="1">
      <c r="A32" s="8">
        <v>43846.0</v>
      </c>
      <c r="B32" s="9">
        <v>4.0</v>
      </c>
      <c r="C32" s="9">
        <v>221.0</v>
      </c>
      <c r="D32" s="10" t="s">
        <v>31</v>
      </c>
      <c r="E32" s="10" t="s">
        <v>17</v>
      </c>
      <c r="F32" s="10" t="s">
        <v>89</v>
      </c>
      <c r="G32" s="10">
        <f t="shared" si="1"/>
        <v>221</v>
      </c>
      <c r="H32" s="9" t="str">
        <f t="shared" si="2"/>
        <v/>
      </c>
      <c r="I32" s="10">
        <f t="shared" si="3"/>
        <v>1</v>
      </c>
    </row>
    <row r="33" ht="15.75" customHeight="1">
      <c r="A33" s="8">
        <v>43847.0</v>
      </c>
      <c r="B33" s="9">
        <v>8.0</v>
      </c>
      <c r="C33" s="9">
        <v>8467.0</v>
      </c>
      <c r="D33" s="10" t="s">
        <v>34</v>
      </c>
      <c r="E33" s="10" t="s">
        <v>29</v>
      </c>
      <c r="F33" s="10" t="s">
        <v>91</v>
      </c>
      <c r="G33" s="9" t="str">
        <f t="shared" si="1"/>
        <v/>
      </c>
      <c r="H33" s="9" t="str">
        <f t="shared" si="2"/>
        <v/>
      </c>
      <c r="I33" s="10">
        <f t="shared" si="3"/>
        <v>1</v>
      </c>
    </row>
    <row r="34" ht="15.75" customHeight="1">
      <c r="A34" s="8">
        <v>43847.0</v>
      </c>
      <c r="B34" s="9">
        <v>1.0</v>
      </c>
      <c r="C34" s="9">
        <v>470.0</v>
      </c>
      <c r="D34" s="10" t="s">
        <v>34</v>
      </c>
      <c r="E34" s="10" t="s">
        <v>29</v>
      </c>
      <c r="F34" s="10" t="s">
        <v>92</v>
      </c>
      <c r="G34" s="9" t="str">
        <f t="shared" si="1"/>
        <v/>
      </c>
      <c r="H34" s="9" t="str">
        <f t="shared" si="2"/>
        <v/>
      </c>
      <c r="I34" s="10">
        <f t="shared" si="3"/>
        <v>1</v>
      </c>
    </row>
    <row r="35" ht="15.75" customHeight="1">
      <c r="A35" s="8">
        <v>43848.0</v>
      </c>
      <c r="B35" s="9">
        <v>3.0</v>
      </c>
      <c r="C35" s="9">
        <v>3930.0</v>
      </c>
      <c r="D35" s="10" t="s">
        <v>15</v>
      </c>
      <c r="E35" s="10" t="s">
        <v>17</v>
      </c>
      <c r="F35" s="10" t="s">
        <v>94</v>
      </c>
      <c r="G35" s="10">
        <f t="shared" si="1"/>
        <v>3930</v>
      </c>
      <c r="H35" s="9" t="str">
        <f t="shared" si="2"/>
        <v/>
      </c>
      <c r="I35" s="10">
        <f t="shared" si="3"/>
        <v>1</v>
      </c>
    </row>
    <row r="36" ht="15.75" customHeight="1">
      <c r="A36" s="8">
        <v>43848.0</v>
      </c>
      <c r="B36" s="9">
        <v>5.0</v>
      </c>
      <c r="C36" s="9">
        <v>898.0</v>
      </c>
      <c r="D36" s="10" t="s">
        <v>95</v>
      </c>
      <c r="E36" s="10" t="s">
        <v>17</v>
      </c>
      <c r="F36" s="10" t="s">
        <v>96</v>
      </c>
      <c r="G36" s="10">
        <f t="shared" si="1"/>
        <v>898</v>
      </c>
      <c r="H36" s="9" t="str">
        <f t="shared" si="2"/>
        <v/>
      </c>
      <c r="I36" s="10">
        <f t="shared" si="3"/>
        <v>1</v>
      </c>
    </row>
    <row r="37" ht="15.75" customHeight="1">
      <c r="A37" s="8">
        <v>43849.0</v>
      </c>
      <c r="B37" s="9">
        <v>1.0</v>
      </c>
      <c r="C37" s="9">
        <v>9754.0</v>
      </c>
      <c r="D37" s="10" t="s">
        <v>95</v>
      </c>
      <c r="E37" s="10" t="s">
        <v>17</v>
      </c>
      <c r="F37" s="10" t="s">
        <v>97</v>
      </c>
      <c r="G37" s="10">
        <f t="shared" si="1"/>
        <v>9754</v>
      </c>
      <c r="H37" s="9" t="str">
        <f t="shared" si="2"/>
        <v/>
      </c>
      <c r="I37" s="10">
        <f t="shared" si="3"/>
        <v>1</v>
      </c>
    </row>
    <row r="38" ht="15.75" customHeight="1">
      <c r="A38" s="8">
        <v>43849.0</v>
      </c>
      <c r="B38" s="9">
        <v>4.0</v>
      </c>
      <c r="C38" s="9">
        <v>4648.0</v>
      </c>
      <c r="D38" s="10" t="s">
        <v>15</v>
      </c>
      <c r="E38" s="10" t="s">
        <v>17</v>
      </c>
      <c r="F38" s="10" t="s">
        <v>98</v>
      </c>
      <c r="G38" s="10">
        <f t="shared" si="1"/>
        <v>4648</v>
      </c>
      <c r="H38" s="9" t="str">
        <f t="shared" si="2"/>
        <v/>
      </c>
      <c r="I38" s="10">
        <f t="shared" si="3"/>
        <v>1</v>
      </c>
    </row>
    <row r="39" ht="15.75" customHeight="1">
      <c r="A39" s="8">
        <v>43849.0</v>
      </c>
      <c r="B39" s="9">
        <v>2.0</v>
      </c>
      <c r="C39" s="9">
        <v>7643.0</v>
      </c>
      <c r="D39" s="10" t="s">
        <v>15</v>
      </c>
      <c r="E39" s="10" t="s">
        <v>17</v>
      </c>
      <c r="F39" s="10" t="s">
        <v>99</v>
      </c>
      <c r="G39" s="10">
        <f t="shared" si="1"/>
        <v>7643</v>
      </c>
      <c r="H39" s="9" t="str">
        <f t="shared" si="2"/>
        <v/>
      </c>
      <c r="I39" s="10">
        <f t="shared" si="3"/>
        <v>1</v>
      </c>
    </row>
    <row r="40" ht="15.75" customHeight="1">
      <c r="A40" s="8">
        <v>43850.0</v>
      </c>
      <c r="B40" s="9">
        <v>2.0</v>
      </c>
      <c r="C40" s="9">
        <v>5810.0</v>
      </c>
      <c r="D40" s="10" t="s">
        <v>15</v>
      </c>
      <c r="E40" s="10" t="s">
        <v>17</v>
      </c>
      <c r="F40" s="10" t="s">
        <v>100</v>
      </c>
      <c r="G40" s="10">
        <f t="shared" si="1"/>
        <v>5810</v>
      </c>
      <c r="H40" s="9" t="str">
        <f t="shared" si="2"/>
        <v/>
      </c>
      <c r="I40" s="10">
        <f t="shared" si="3"/>
        <v>1</v>
      </c>
    </row>
    <row r="41" ht="15.75" customHeight="1">
      <c r="A41" s="8">
        <v>43850.0</v>
      </c>
      <c r="B41" s="9">
        <v>6.0</v>
      </c>
      <c r="C41" s="9">
        <v>715.0</v>
      </c>
      <c r="D41" s="10" t="s">
        <v>15</v>
      </c>
      <c r="E41" s="10" t="s">
        <v>17</v>
      </c>
      <c r="F41" s="10" t="s">
        <v>101</v>
      </c>
      <c r="G41" s="10">
        <f t="shared" si="1"/>
        <v>715</v>
      </c>
      <c r="H41" s="9" t="str">
        <f t="shared" si="2"/>
        <v/>
      </c>
      <c r="I41" s="10">
        <f t="shared" si="3"/>
        <v>1</v>
      </c>
    </row>
    <row r="42" ht="15.75" customHeight="1">
      <c r="A42" s="8">
        <v>43850.0</v>
      </c>
      <c r="B42" s="9">
        <v>5.0</v>
      </c>
      <c r="C42" s="9">
        <v>1846.0</v>
      </c>
      <c r="D42" s="10" t="s">
        <v>42</v>
      </c>
      <c r="E42" s="10" t="s">
        <v>17</v>
      </c>
      <c r="F42" s="10" t="s">
        <v>102</v>
      </c>
      <c r="G42" s="10">
        <f t="shared" si="1"/>
        <v>1846</v>
      </c>
      <c r="H42" s="9" t="str">
        <f t="shared" si="2"/>
        <v/>
      </c>
      <c r="I42" s="10">
        <f t="shared" si="3"/>
        <v>1</v>
      </c>
    </row>
    <row r="43" ht="15.75" customHeight="1">
      <c r="A43" s="8">
        <v>43850.0</v>
      </c>
      <c r="B43" s="9">
        <v>9.0</v>
      </c>
      <c r="C43" s="9">
        <v>8981.0</v>
      </c>
      <c r="D43" s="10" t="s">
        <v>15</v>
      </c>
      <c r="E43" s="10" t="s">
        <v>17</v>
      </c>
      <c r="F43" s="10" t="s">
        <v>103</v>
      </c>
      <c r="G43" s="10">
        <f t="shared" si="1"/>
        <v>8981</v>
      </c>
      <c r="H43" s="9" t="str">
        <f t="shared" si="2"/>
        <v/>
      </c>
      <c r="I43" s="10">
        <f t="shared" si="3"/>
        <v>1</v>
      </c>
    </row>
    <row r="44" ht="15.75" customHeight="1">
      <c r="A44" s="8">
        <v>43850.0</v>
      </c>
      <c r="B44" s="9">
        <v>10.0</v>
      </c>
      <c r="C44" s="9">
        <v>3466.0</v>
      </c>
      <c r="D44" s="10" t="s">
        <v>34</v>
      </c>
      <c r="E44" s="10" t="s">
        <v>17</v>
      </c>
      <c r="F44" s="10" t="s">
        <v>104</v>
      </c>
      <c r="G44" s="10">
        <f t="shared" si="1"/>
        <v>3466</v>
      </c>
      <c r="H44" s="9" t="str">
        <f t="shared" si="2"/>
        <v/>
      </c>
      <c r="I44" s="10">
        <f t="shared" si="3"/>
        <v>1</v>
      </c>
    </row>
    <row r="45" ht="15.75" customHeight="1">
      <c r="A45" s="8">
        <v>43851.0</v>
      </c>
      <c r="B45" s="9">
        <v>8.0</v>
      </c>
      <c r="C45" s="9">
        <v>2535.0</v>
      </c>
      <c r="D45" s="10" t="s">
        <v>31</v>
      </c>
      <c r="E45" s="10" t="s">
        <v>29</v>
      </c>
      <c r="F45" s="10" t="s">
        <v>105</v>
      </c>
      <c r="G45" s="9" t="str">
        <f t="shared" si="1"/>
        <v/>
      </c>
      <c r="H45" s="9" t="str">
        <f t="shared" si="2"/>
        <v/>
      </c>
      <c r="I45" s="10">
        <f t="shared" si="3"/>
        <v>1</v>
      </c>
    </row>
    <row r="46" ht="15.75" customHeight="1">
      <c r="A46" s="8">
        <v>43852.0</v>
      </c>
      <c r="B46" s="9">
        <v>5.0</v>
      </c>
      <c r="C46" s="9">
        <v>2558.0</v>
      </c>
      <c r="D46" s="10" t="s">
        <v>15</v>
      </c>
      <c r="E46" s="10" t="s">
        <v>17</v>
      </c>
      <c r="F46" s="10" t="s">
        <v>106</v>
      </c>
      <c r="G46" s="10">
        <f t="shared" si="1"/>
        <v>2558</v>
      </c>
      <c r="H46" s="9" t="str">
        <f t="shared" si="2"/>
        <v/>
      </c>
      <c r="I46" s="10">
        <f t="shared" si="3"/>
        <v>1</v>
      </c>
    </row>
    <row r="47" ht="15.75" customHeight="1">
      <c r="A47" s="8">
        <v>43853.0</v>
      </c>
      <c r="B47" s="9">
        <v>10.0</v>
      </c>
      <c r="C47" s="9">
        <v>9505.0</v>
      </c>
      <c r="D47" s="10" t="s">
        <v>34</v>
      </c>
      <c r="E47" s="10" t="s">
        <v>17</v>
      </c>
      <c r="F47" s="10" t="s">
        <v>109</v>
      </c>
      <c r="G47" s="10">
        <f t="shared" si="1"/>
        <v>9505</v>
      </c>
      <c r="H47" s="9" t="str">
        <f t="shared" si="2"/>
        <v/>
      </c>
      <c r="I47" s="10">
        <f t="shared" si="3"/>
        <v>1</v>
      </c>
    </row>
    <row r="48" ht="15.75" customHeight="1">
      <c r="A48" s="8">
        <v>43853.0</v>
      </c>
      <c r="B48" s="9">
        <v>3.0</v>
      </c>
      <c r="C48" s="9">
        <v>5438.0</v>
      </c>
      <c r="D48" s="10" t="s">
        <v>15</v>
      </c>
      <c r="E48" s="10" t="s">
        <v>29</v>
      </c>
      <c r="F48" s="10" t="s">
        <v>113</v>
      </c>
      <c r="G48" s="9" t="str">
        <f t="shared" si="1"/>
        <v/>
      </c>
      <c r="H48" s="10">
        <f t="shared" si="2"/>
        <v>5438</v>
      </c>
      <c r="I48" s="10">
        <f t="shared" si="3"/>
        <v>1</v>
      </c>
    </row>
    <row r="49" ht="15.75" customHeight="1">
      <c r="A49" s="8">
        <v>43854.0</v>
      </c>
      <c r="B49" s="9">
        <v>2.0</v>
      </c>
      <c r="C49" s="9">
        <v>2076.0</v>
      </c>
      <c r="D49" s="10" t="s">
        <v>42</v>
      </c>
      <c r="E49" s="10" t="s">
        <v>17</v>
      </c>
      <c r="F49" s="10" t="s">
        <v>114</v>
      </c>
      <c r="G49" s="10">
        <f t="shared" si="1"/>
        <v>2076</v>
      </c>
      <c r="H49" s="9" t="str">
        <f t="shared" si="2"/>
        <v/>
      </c>
      <c r="I49" s="10">
        <f t="shared" si="3"/>
        <v>1</v>
      </c>
    </row>
    <row r="50" ht="15.75" customHeight="1">
      <c r="A50" s="8">
        <v>43854.0</v>
      </c>
      <c r="B50" s="9">
        <v>1.0</v>
      </c>
      <c r="C50" s="9">
        <v>2534.0</v>
      </c>
      <c r="D50" s="10" t="s">
        <v>15</v>
      </c>
      <c r="E50" s="10" t="s">
        <v>17</v>
      </c>
      <c r="F50" s="10" t="s">
        <v>115</v>
      </c>
      <c r="G50" s="10">
        <f t="shared" si="1"/>
        <v>2534</v>
      </c>
      <c r="H50" s="9" t="str">
        <f t="shared" si="2"/>
        <v/>
      </c>
      <c r="I50" s="10">
        <f t="shared" si="3"/>
        <v>1</v>
      </c>
    </row>
    <row r="51" ht="15.75" customHeight="1">
      <c r="A51" s="8">
        <v>43854.0</v>
      </c>
      <c r="B51" s="9">
        <v>10.0</v>
      </c>
      <c r="C51" s="9">
        <v>4848.0</v>
      </c>
      <c r="D51" s="10" t="s">
        <v>15</v>
      </c>
      <c r="E51" s="10" t="s">
        <v>17</v>
      </c>
      <c r="F51" s="10" t="s">
        <v>116</v>
      </c>
      <c r="G51" s="10">
        <f t="shared" si="1"/>
        <v>4848</v>
      </c>
      <c r="H51" s="9" t="str">
        <f t="shared" si="2"/>
        <v/>
      </c>
      <c r="I51" s="10">
        <f t="shared" si="3"/>
        <v>1</v>
      </c>
    </row>
    <row r="52" ht="15.75" customHeight="1">
      <c r="A52" s="8">
        <v>43855.0</v>
      </c>
      <c r="B52" s="9">
        <v>10.0</v>
      </c>
      <c r="C52" s="9">
        <v>1928.0</v>
      </c>
      <c r="D52" s="10" t="s">
        <v>34</v>
      </c>
      <c r="E52" s="10" t="s">
        <v>29</v>
      </c>
      <c r="F52" s="10" t="s">
        <v>117</v>
      </c>
      <c r="G52" s="9" t="str">
        <f t="shared" si="1"/>
        <v/>
      </c>
      <c r="H52" s="9" t="str">
        <f t="shared" si="2"/>
        <v/>
      </c>
      <c r="I52" s="10">
        <f t="shared" si="3"/>
        <v>1</v>
      </c>
    </row>
    <row r="53" ht="15.75" customHeight="1">
      <c r="A53" s="8">
        <v>43855.0</v>
      </c>
      <c r="B53" s="9">
        <v>3.0</v>
      </c>
      <c r="C53" s="9">
        <v>7309.0</v>
      </c>
      <c r="D53" s="10" t="s">
        <v>31</v>
      </c>
      <c r="E53" s="10" t="s">
        <v>17</v>
      </c>
      <c r="F53" s="10" t="s">
        <v>118</v>
      </c>
      <c r="G53" s="10">
        <f t="shared" si="1"/>
        <v>7309</v>
      </c>
      <c r="H53" s="9" t="str">
        <f t="shared" si="2"/>
        <v/>
      </c>
      <c r="I53" s="10">
        <f t="shared" si="3"/>
        <v>1</v>
      </c>
    </row>
    <row r="54" ht="15.75" customHeight="1">
      <c r="A54" s="8">
        <v>43855.0</v>
      </c>
      <c r="B54" s="9">
        <v>4.0</v>
      </c>
      <c r="C54" s="9">
        <v>4965.0</v>
      </c>
      <c r="D54" s="10" t="s">
        <v>15</v>
      </c>
      <c r="E54" s="10" t="s">
        <v>17</v>
      </c>
      <c r="F54" s="10" t="s">
        <v>120</v>
      </c>
      <c r="G54" s="10">
        <f t="shared" si="1"/>
        <v>4965</v>
      </c>
      <c r="H54" s="9" t="str">
        <f t="shared" si="2"/>
        <v/>
      </c>
      <c r="I54" s="10">
        <f t="shared" si="3"/>
        <v>1</v>
      </c>
    </row>
    <row r="55" ht="15.75" customHeight="1">
      <c r="A55" s="8">
        <v>43856.0</v>
      </c>
      <c r="B55" s="9">
        <v>2.0</v>
      </c>
      <c r="C55" s="9">
        <v>7125.0</v>
      </c>
      <c r="D55" s="10" t="s">
        <v>34</v>
      </c>
      <c r="E55" s="10" t="s">
        <v>29</v>
      </c>
      <c r="F55" s="10" t="s">
        <v>121</v>
      </c>
      <c r="G55" s="9" t="str">
        <f t="shared" si="1"/>
        <v/>
      </c>
      <c r="H55" s="9" t="str">
        <f t="shared" si="2"/>
        <v/>
      </c>
      <c r="I55" s="10">
        <f t="shared" si="3"/>
        <v>1</v>
      </c>
    </row>
    <row r="56" ht="15.75" customHeight="1">
      <c r="A56" s="8">
        <v>43856.0</v>
      </c>
      <c r="B56" s="9">
        <v>4.0</v>
      </c>
      <c r="C56" s="9">
        <v>6470.0</v>
      </c>
      <c r="D56" s="10" t="s">
        <v>15</v>
      </c>
      <c r="E56" s="10" t="s">
        <v>17</v>
      </c>
      <c r="F56" s="10" t="s">
        <v>123</v>
      </c>
      <c r="G56" s="10">
        <f t="shared" si="1"/>
        <v>6470</v>
      </c>
      <c r="H56" s="9" t="str">
        <f t="shared" si="2"/>
        <v/>
      </c>
      <c r="I56" s="10">
        <f t="shared" si="3"/>
        <v>1</v>
      </c>
    </row>
    <row r="57" ht="15.75" customHeight="1">
      <c r="A57" s="8">
        <v>43857.0</v>
      </c>
      <c r="B57" s="9">
        <v>5.0</v>
      </c>
      <c r="C57" s="9">
        <v>7245.0</v>
      </c>
      <c r="D57" s="10" t="s">
        <v>34</v>
      </c>
      <c r="E57" s="10" t="s">
        <v>29</v>
      </c>
      <c r="F57" s="10" t="s">
        <v>124</v>
      </c>
      <c r="G57" s="9" t="str">
        <f t="shared" si="1"/>
        <v/>
      </c>
      <c r="H57" s="9" t="str">
        <f t="shared" si="2"/>
        <v/>
      </c>
      <c r="I57" s="10">
        <f t="shared" si="3"/>
        <v>1</v>
      </c>
    </row>
    <row r="58" ht="15.75" customHeight="1">
      <c r="A58" s="8">
        <v>43857.0</v>
      </c>
      <c r="B58" s="9">
        <v>9.0</v>
      </c>
      <c r="C58" s="9">
        <v>4878.0</v>
      </c>
      <c r="D58" s="10" t="s">
        <v>15</v>
      </c>
      <c r="E58" s="10" t="s">
        <v>17</v>
      </c>
      <c r="F58" s="10" t="s">
        <v>125</v>
      </c>
      <c r="G58" s="10">
        <f t="shared" si="1"/>
        <v>4878</v>
      </c>
      <c r="H58" s="9" t="str">
        <f t="shared" si="2"/>
        <v/>
      </c>
      <c r="I58" s="10">
        <f t="shared" si="3"/>
        <v>1</v>
      </c>
    </row>
    <row r="59" ht="15.75" customHeight="1">
      <c r="A59" s="8">
        <v>43857.0</v>
      </c>
      <c r="B59" s="9">
        <v>5.0</v>
      </c>
      <c r="C59" s="9">
        <v>2733.0</v>
      </c>
      <c r="D59" s="10" t="s">
        <v>95</v>
      </c>
      <c r="E59" s="10" t="s">
        <v>29</v>
      </c>
      <c r="F59" s="10" t="s">
        <v>127</v>
      </c>
      <c r="G59" s="9" t="str">
        <f t="shared" si="1"/>
        <v/>
      </c>
      <c r="H59" s="9" t="str">
        <f t="shared" si="2"/>
        <v/>
      </c>
      <c r="I59" s="10">
        <f t="shared" si="3"/>
        <v>1</v>
      </c>
    </row>
    <row r="60" ht="15.75" customHeight="1">
      <c r="A60" s="8">
        <v>43857.0</v>
      </c>
      <c r="B60" s="9">
        <v>4.0</v>
      </c>
      <c r="C60" s="9">
        <v>7483.0</v>
      </c>
      <c r="D60" s="10" t="s">
        <v>15</v>
      </c>
      <c r="E60" s="10" t="s">
        <v>17</v>
      </c>
      <c r="F60" s="10" t="s">
        <v>129</v>
      </c>
      <c r="G60" s="10">
        <f t="shared" si="1"/>
        <v>7483</v>
      </c>
      <c r="H60" s="9" t="str">
        <f t="shared" si="2"/>
        <v/>
      </c>
      <c r="I60" s="10">
        <f t="shared" si="3"/>
        <v>1</v>
      </c>
    </row>
    <row r="61" ht="15.75" customHeight="1">
      <c r="A61" s="8">
        <v>43858.0</v>
      </c>
      <c r="B61" s="9">
        <v>3.0</v>
      </c>
      <c r="C61" s="9">
        <v>4146.0</v>
      </c>
      <c r="D61" s="10" t="s">
        <v>15</v>
      </c>
      <c r="E61" s="10" t="s">
        <v>17</v>
      </c>
      <c r="F61" s="10" t="s">
        <v>131</v>
      </c>
      <c r="G61" s="10">
        <f t="shared" si="1"/>
        <v>4146</v>
      </c>
      <c r="H61" s="9" t="str">
        <f t="shared" si="2"/>
        <v/>
      </c>
      <c r="I61" s="10">
        <f t="shared" si="3"/>
        <v>1</v>
      </c>
    </row>
    <row r="62" ht="15.75" customHeight="1">
      <c r="A62" s="8">
        <v>43858.0</v>
      </c>
      <c r="B62" s="9">
        <v>1.0</v>
      </c>
      <c r="C62" s="9">
        <v>9450.0</v>
      </c>
      <c r="D62" s="10" t="s">
        <v>15</v>
      </c>
      <c r="E62" s="10" t="s">
        <v>29</v>
      </c>
      <c r="F62" s="10" t="s">
        <v>132</v>
      </c>
      <c r="G62" s="9" t="str">
        <f t="shared" si="1"/>
        <v/>
      </c>
      <c r="H62" s="10">
        <f t="shared" si="2"/>
        <v>9450</v>
      </c>
      <c r="I62" s="10">
        <f t="shared" si="3"/>
        <v>1</v>
      </c>
    </row>
    <row r="63" ht="15.75" customHeight="1">
      <c r="A63" s="8">
        <v>43858.0</v>
      </c>
      <c r="B63" s="9">
        <v>10.0</v>
      </c>
      <c r="C63" s="9">
        <v>2942.0</v>
      </c>
      <c r="D63" s="10" t="s">
        <v>31</v>
      </c>
      <c r="E63" s="10" t="s">
        <v>17</v>
      </c>
      <c r="F63" s="10" t="s">
        <v>134</v>
      </c>
      <c r="G63" s="10">
        <f t="shared" si="1"/>
        <v>2942</v>
      </c>
      <c r="H63" s="9" t="str">
        <f t="shared" si="2"/>
        <v/>
      </c>
      <c r="I63" s="10">
        <f t="shared" si="3"/>
        <v>1</v>
      </c>
    </row>
    <row r="64" ht="15.75" customHeight="1">
      <c r="A64" s="8">
        <v>43858.0</v>
      </c>
      <c r="B64" s="9">
        <v>5.0</v>
      </c>
      <c r="C64" s="9">
        <v>6228.0</v>
      </c>
      <c r="D64" s="10" t="s">
        <v>42</v>
      </c>
      <c r="E64" s="10" t="s">
        <v>17</v>
      </c>
      <c r="F64" s="10" t="s">
        <v>136</v>
      </c>
      <c r="G64" s="10">
        <f t="shared" si="1"/>
        <v>6228</v>
      </c>
      <c r="H64" s="9" t="str">
        <f t="shared" si="2"/>
        <v/>
      </c>
      <c r="I64" s="10">
        <f t="shared" si="3"/>
        <v>1</v>
      </c>
    </row>
    <row r="65" ht="15.75" customHeight="1">
      <c r="A65" s="8">
        <v>43859.0</v>
      </c>
      <c r="B65" s="9">
        <v>7.0</v>
      </c>
      <c r="C65" s="9">
        <v>108.0</v>
      </c>
      <c r="D65" s="10" t="s">
        <v>15</v>
      </c>
      <c r="E65" s="10" t="s">
        <v>17</v>
      </c>
      <c r="F65" s="10" t="s">
        <v>138</v>
      </c>
      <c r="G65" s="10">
        <f t="shared" si="1"/>
        <v>108</v>
      </c>
      <c r="H65" s="9" t="str">
        <f t="shared" si="2"/>
        <v/>
      </c>
      <c r="I65" s="10">
        <f t="shared" si="3"/>
        <v>1</v>
      </c>
    </row>
    <row r="66" ht="15.75" customHeight="1">
      <c r="A66" s="8">
        <v>43859.0</v>
      </c>
      <c r="B66" s="9">
        <v>6.0</v>
      </c>
      <c r="C66" s="9">
        <v>1308.0</v>
      </c>
      <c r="D66" s="10" t="s">
        <v>15</v>
      </c>
      <c r="E66" s="10" t="s">
        <v>29</v>
      </c>
      <c r="F66" s="10" t="s">
        <v>139</v>
      </c>
      <c r="G66" s="9" t="str">
        <f t="shared" si="1"/>
        <v/>
      </c>
      <c r="H66" s="10">
        <f t="shared" si="2"/>
        <v>1308</v>
      </c>
      <c r="I66" s="10">
        <f t="shared" si="3"/>
        <v>1</v>
      </c>
    </row>
    <row r="67" ht="15.75" customHeight="1">
      <c r="A67" s="8">
        <v>43860.0</v>
      </c>
      <c r="B67" s="9">
        <v>5.0</v>
      </c>
      <c r="C67" s="9">
        <v>6302.0</v>
      </c>
      <c r="D67" s="10" t="s">
        <v>42</v>
      </c>
      <c r="E67" s="10" t="s">
        <v>17</v>
      </c>
      <c r="F67" s="10" t="s">
        <v>140</v>
      </c>
      <c r="G67" s="10">
        <f t="shared" si="1"/>
        <v>6302</v>
      </c>
      <c r="H67" s="9" t="str">
        <f t="shared" si="2"/>
        <v/>
      </c>
      <c r="I67" s="10">
        <f t="shared" si="3"/>
        <v>1</v>
      </c>
    </row>
    <row r="68" ht="15.75" customHeight="1">
      <c r="A68" s="8">
        <v>43860.0</v>
      </c>
      <c r="B68" s="9">
        <v>4.0</v>
      </c>
      <c r="C68" s="9">
        <v>1586.0</v>
      </c>
      <c r="D68" s="10" t="s">
        <v>34</v>
      </c>
      <c r="E68" s="10" t="s">
        <v>17</v>
      </c>
      <c r="F68" s="10" t="s">
        <v>141</v>
      </c>
      <c r="G68" s="10">
        <f t="shared" si="1"/>
        <v>1586</v>
      </c>
      <c r="H68" s="9" t="str">
        <f t="shared" si="2"/>
        <v/>
      </c>
      <c r="I68" s="10">
        <f t="shared" si="3"/>
        <v>1</v>
      </c>
    </row>
    <row r="69" ht="15.75" customHeight="1">
      <c r="A69" s="8">
        <v>43861.0</v>
      </c>
      <c r="B69" s="9">
        <v>9.0</v>
      </c>
      <c r="C69" s="9">
        <v>907.0</v>
      </c>
      <c r="D69" s="10" t="s">
        <v>15</v>
      </c>
      <c r="E69" s="10" t="s">
        <v>17</v>
      </c>
      <c r="F69" s="10" t="s">
        <v>142</v>
      </c>
      <c r="G69" s="10">
        <f t="shared" si="1"/>
        <v>907</v>
      </c>
      <c r="H69" s="9" t="str">
        <f t="shared" si="2"/>
        <v/>
      </c>
      <c r="I69" s="10">
        <f t="shared" si="3"/>
        <v>1</v>
      </c>
    </row>
    <row r="70" ht="15.75" customHeight="1">
      <c r="A70" s="8">
        <v>43861.0</v>
      </c>
      <c r="B70" s="9">
        <v>10.0</v>
      </c>
      <c r="C70" s="9">
        <v>6218.0</v>
      </c>
      <c r="D70" s="10" t="s">
        <v>42</v>
      </c>
      <c r="E70" s="10" t="s">
        <v>17</v>
      </c>
      <c r="F70" s="10" t="s">
        <v>143</v>
      </c>
      <c r="G70" s="10">
        <f t="shared" si="1"/>
        <v>6218</v>
      </c>
      <c r="H70" s="9" t="str">
        <f t="shared" si="2"/>
        <v/>
      </c>
      <c r="I70" s="10">
        <f t="shared" si="3"/>
        <v>1</v>
      </c>
    </row>
    <row r="71" ht="15.75" customHeight="1">
      <c r="A71" s="8">
        <v>43862.0</v>
      </c>
      <c r="B71" s="9">
        <v>2.0</v>
      </c>
      <c r="C71" s="9">
        <v>3900.0</v>
      </c>
      <c r="D71" s="10" t="s">
        <v>15</v>
      </c>
      <c r="E71" s="10" t="s">
        <v>17</v>
      </c>
      <c r="F71" s="10" t="s">
        <v>144</v>
      </c>
      <c r="G71" s="10">
        <f t="shared" si="1"/>
        <v>3900</v>
      </c>
      <c r="H71" s="9" t="str">
        <f t="shared" si="2"/>
        <v/>
      </c>
      <c r="I71" s="10">
        <f t="shared" si="3"/>
        <v>2</v>
      </c>
    </row>
    <row r="72" ht="15.75" customHeight="1">
      <c r="A72" s="8">
        <v>43862.0</v>
      </c>
      <c r="B72" s="9">
        <v>1.0</v>
      </c>
      <c r="C72" s="9">
        <v>1441.0</v>
      </c>
      <c r="D72" s="10" t="s">
        <v>15</v>
      </c>
      <c r="E72" s="10" t="s">
        <v>17</v>
      </c>
      <c r="F72" s="10" t="s">
        <v>145</v>
      </c>
      <c r="G72" s="10">
        <f t="shared" si="1"/>
        <v>1441</v>
      </c>
      <c r="H72" s="9" t="str">
        <f t="shared" si="2"/>
        <v/>
      </c>
      <c r="I72" s="10">
        <f t="shared" si="3"/>
        <v>2</v>
      </c>
    </row>
    <row r="73" ht="15.75" customHeight="1">
      <c r="A73" s="8">
        <v>43863.0</v>
      </c>
      <c r="B73" s="9">
        <v>8.0</v>
      </c>
      <c r="C73" s="9">
        <v>6281.0</v>
      </c>
      <c r="D73" s="10" t="s">
        <v>15</v>
      </c>
      <c r="E73" s="10" t="s">
        <v>29</v>
      </c>
      <c r="F73" s="10" t="s">
        <v>146</v>
      </c>
      <c r="G73" s="9" t="str">
        <f t="shared" si="1"/>
        <v/>
      </c>
      <c r="H73" s="10">
        <f t="shared" si="2"/>
        <v>6281</v>
      </c>
      <c r="I73" s="10">
        <f t="shared" si="3"/>
        <v>2</v>
      </c>
    </row>
    <row r="74" ht="15.75" customHeight="1">
      <c r="A74" s="8">
        <v>43864.0</v>
      </c>
      <c r="B74" s="9">
        <v>1.0</v>
      </c>
      <c r="C74" s="9">
        <v>3696.0</v>
      </c>
      <c r="D74" s="10" t="s">
        <v>34</v>
      </c>
      <c r="E74" s="10" t="s">
        <v>17</v>
      </c>
      <c r="F74" s="10" t="s">
        <v>147</v>
      </c>
      <c r="G74" s="10">
        <f t="shared" si="1"/>
        <v>3696</v>
      </c>
      <c r="H74" s="9" t="str">
        <f t="shared" si="2"/>
        <v/>
      </c>
      <c r="I74" s="10">
        <f t="shared" si="3"/>
        <v>2</v>
      </c>
    </row>
    <row r="75" ht="15.75" customHeight="1">
      <c r="A75" s="8">
        <v>43865.0</v>
      </c>
      <c r="B75" s="9">
        <v>5.0</v>
      </c>
      <c r="C75" s="9">
        <v>9701.0</v>
      </c>
      <c r="D75" s="10" t="s">
        <v>34</v>
      </c>
      <c r="E75" s="10" t="s">
        <v>17</v>
      </c>
      <c r="F75" s="10" t="s">
        <v>148</v>
      </c>
      <c r="G75" s="10">
        <f t="shared" si="1"/>
        <v>9701</v>
      </c>
      <c r="H75" s="9" t="str">
        <f t="shared" si="2"/>
        <v/>
      </c>
      <c r="I75" s="10">
        <f t="shared" si="3"/>
        <v>2</v>
      </c>
    </row>
    <row r="76" ht="15.75" customHeight="1">
      <c r="A76" s="8">
        <v>43865.0</v>
      </c>
      <c r="B76" s="9">
        <v>8.0</v>
      </c>
      <c r="C76" s="9">
        <v>7148.0</v>
      </c>
      <c r="D76" s="10" t="s">
        <v>15</v>
      </c>
      <c r="E76" s="10" t="s">
        <v>29</v>
      </c>
      <c r="F76" s="10" t="s">
        <v>149</v>
      </c>
      <c r="G76" s="9" t="str">
        <f t="shared" si="1"/>
        <v/>
      </c>
      <c r="H76" s="10">
        <f t="shared" si="2"/>
        <v>7148</v>
      </c>
      <c r="I76" s="10">
        <f t="shared" si="3"/>
        <v>2</v>
      </c>
    </row>
    <row r="77" ht="15.75" customHeight="1">
      <c r="A77" s="8">
        <v>43866.0</v>
      </c>
      <c r="B77" s="9">
        <v>3.0</v>
      </c>
      <c r="C77" s="9">
        <v>1157.0</v>
      </c>
      <c r="D77" s="10" t="s">
        <v>15</v>
      </c>
      <c r="E77" s="10" t="s">
        <v>17</v>
      </c>
      <c r="F77" s="10" t="s">
        <v>150</v>
      </c>
      <c r="G77" s="10">
        <f t="shared" si="1"/>
        <v>1157</v>
      </c>
      <c r="H77" s="9" t="str">
        <f t="shared" si="2"/>
        <v/>
      </c>
      <c r="I77" s="10">
        <f t="shared" si="3"/>
        <v>2</v>
      </c>
    </row>
    <row r="78" ht="15.75" customHeight="1">
      <c r="A78" s="8">
        <v>43866.0</v>
      </c>
      <c r="B78" s="9">
        <v>10.0</v>
      </c>
      <c r="C78" s="9">
        <v>4868.0</v>
      </c>
      <c r="D78" s="10" t="s">
        <v>15</v>
      </c>
      <c r="E78" s="10" t="s">
        <v>29</v>
      </c>
      <c r="F78" s="10" t="s">
        <v>151</v>
      </c>
      <c r="G78" s="9" t="str">
        <f t="shared" si="1"/>
        <v/>
      </c>
      <c r="H78" s="10">
        <f t="shared" si="2"/>
        <v>4868</v>
      </c>
      <c r="I78" s="10">
        <f t="shared" si="3"/>
        <v>2</v>
      </c>
    </row>
    <row r="79" ht="15.75" customHeight="1">
      <c r="A79" s="8">
        <v>43867.0</v>
      </c>
      <c r="B79" s="9">
        <v>8.0</v>
      </c>
      <c r="C79" s="9">
        <v>5514.0</v>
      </c>
      <c r="D79" s="10" t="s">
        <v>15</v>
      </c>
      <c r="E79" s="10" t="s">
        <v>17</v>
      </c>
      <c r="F79" s="10" t="s">
        <v>152</v>
      </c>
      <c r="G79" s="10">
        <f t="shared" si="1"/>
        <v>5514</v>
      </c>
      <c r="H79" s="9" t="str">
        <f t="shared" si="2"/>
        <v/>
      </c>
      <c r="I79" s="10">
        <f t="shared" si="3"/>
        <v>2</v>
      </c>
    </row>
    <row r="80" ht="15.75" customHeight="1">
      <c r="A80" s="8">
        <v>43868.0</v>
      </c>
      <c r="B80" s="9">
        <v>5.0</v>
      </c>
      <c r="C80" s="9">
        <v>9950.0</v>
      </c>
      <c r="D80" s="10" t="s">
        <v>15</v>
      </c>
      <c r="E80" s="10" t="s">
        <v>17</v>
      </c>
      <c r="F80" s="10" t="s">
        <v>154</v>
      </c>
      <c r="G80" s="10">
        <f t="shared" si="1"/>
        <v>9950</v>
      </c>
      <c r="H80" s="9" t="str">
        <f t="shared" si="2"/>
        <v/>
      </c>
      <c r="I80" s="10">
        <f t="shared" si="3"/>
        <v>2</v>
      </c>
    </row>
    <row r="81" ht="15.75" customHeight="1">
      <c r="A81" s="8">
        <v>43868.0</v>
      </c>
      <c r="B81" s="9">
        <v>2.0</v>
      </c>
      <c r="C81" s="9">
        <v>2115.0</v>
      </c>
      <c r="D81" s="10" t="s">
        <v>15</v>
      </c>
      <c r="E81" s="10" t="s">
        <v>29</v>
      </c>
      <c r="F81" s="10" t="s">
        <v>155</v>
      </c>
      <c r="G81" s="9" t="str">
        <f t="shared" si="1"/>
        <v/>
      </c>
      <c r="H81" s="10">
        <f t="shared" si="2"/>
        <v>2115</v>
      </c>
      <c r="I81" s="10">
        <f t="shared" si="3"/>
        <v>2</v>
      </c>
    </row>
    <row r="82" ht="15.75" customHeight="1">
      <c r="A82" s="8">
        <v>43868.0</v>
      </c>
      <c r="B82" s="9">
        <v>2.0</v>
      </c>
      <c r="C82" s="9">
        <v>8143.0</v>
      </c>
      <c r="D82" s="10" t="s">
        <v>15</v>
      </c>
      <c r="E82" s="10" t="s">
        <v>29</v>
      </c>
      <c r="F82" s="10" t="s">
        <v>157</v>
      </c>
      <c r="G82" s="9" t="str">
        <f t="shared" si="1"/>
        <v/>
      </c>
      <c r="H82" s="10">
        <f t="shared" si="2"/>
        <v>8143</v>
      </c>
      <c r="I82" s="10">
        <f t="shared" si="3"/>
        <v>2</v>
      </c>
    </row>
    <row r="83" ht="15.75" customHeight="1">
      <c r="A83" s="8">
        <v>43870.0</v>
      </c>
      <c r="B83" s="9">
        <v>3.0</v>
      </c>
      <c r="C83" s="9">
        <v>5327.0</v>
      </c>
      <c r="D83" s="10" t="s">
        <v>15</v>
      </c>
      <c r="E83" s="10" t="s">
        <v>29</v>
      </c>
      <c r="F83" s="10" t="s">
        <v>158</v>
      </c>
      <c r="G83" s="9" t="str">
        <f t="shared" si="1"/>
        <v/>
      </c>
      <c r="H83" s="10">
        <f t="shared" si="2"/>
        <v>5327</v>
      </c>
      <c r="I83" s="10">
        <f t="shared" si="3"/>
        <v>2</v>
      </c>
    </row>
    <row r="84" ht="15.75" customHeight="1">
      <c r="A84" s="8">
        <v>43870.0</v>
      </c>
      <c r="B84" s="9">
        <v>7.0</v>
      </c>
      <c r="C84" s="9">
        <v>2106.0</v>
      </c>
      <c r="D84" s="10" t="s">
        <v>34</v>
      </c>
      <c r="E84" s="10" t="s">
        <v>17</v>
      </c>
      <c r="F84" s="10" t="s">
        <v>159</v>
      </c>
      <c r="G84" s="10">
        <f t="shared" si="1"/>
        <v>2106</v>
      </c>
      <c r="H84" s="9" t="str">
        <f t="shared" si="2"/>
        <v/>
      </c>
      <c r="I84" s="10">
        <f t="shared" si="3"/>
        <v>2</v>
      </c>
    </row>
    <row r="85" ht="15.75" customHeight="1">
      <c r="A85" s="8">
        <v>43870.0</v>
      </c>
      <c r="B85" s="9">
        <v>9.0</v>
      </c>
      <c r="C85" s="9">
        <v>7171.0</v>
      </c>
      <c r="D85" s="10" t="s">
        <v>31</v>
      </c>
      <c r="E85" s="10" t="s">
        <v>29</v>
      </c>
      <c r="F85" s="10" t="s">
        <v>160</v>
      </c>
      <c r="G85" s="9" t="str">
        <f t="shared" si="1"/>
        <v/>
      </c>
      <c r="H85" s="9" t="str">
        <f t="shared" si="2"/>
        <v/>
      </c>
      <c r="I85" s="10">
        <f t="shared" si="3"/>
        <v>2</v>
      </c>
    </row>
    <row r="86" ht="15.75" customHeight="1">
      <c r="A86" s="8">
        <v>43870.0</v>
      </c>
      <c r="B86" s="9">
        <v>7.0</v>
      </c>
      <c r="C86" s="9">
        <v>4757.0</v>
      </c>
      <c r="D86" s="10" t="s">
        <v>15</v>
      </c>
      <c r="E86" s="10" t="s">
        <v>17</v>
      </c>
      <c r="F86" s="10" t="s">
        <v>161</v>
      </c>
      <c r="G86" s="10">
        <f t="shared" si="1"/>
        <v>4757</v>
      </c>
      <c r="H86" s="9" t="str">
        <f t="shared" si="2"/>
        <v/>
      </c>
      <c r="I86" s="10">
        <f t="shared" si="3"/>
        <v>2</v>
      </c>
    </row>
    <row r="87" ht="15.75" customHeight="1">
      <c r="A87" s="8">
        <v>43871.0</v>
      </c>
      <c r="B87" s="9">
        <v>10.0</v>
      </c>
      <c r="C87" s="9">
        <v>3356.0</v>
      </c>
      <c r="D87" s="10" t="s">
        <v>15</v>
      </c>
      <c r="E87" s="10" t="s">
        <v>17</v>
      </c>
      <c r="F87" s="10" t="s">
        <v>164</v>
      </c>
      <c r="G87" s="10">
        <f t="shared" si="1"/>
        <v>3356</v>
      </c>
      <c r="H87" s="9" t="str">
        <f t="shared" si="2"/>
        <v/>
      </c>
      <c r="I87" s="10">
        <f t="shared" si="3"/>
        <v>2</v>
      </c>
    </row>
    <row r="88" ht="15.75" customHeight="1">
      <c r="A88" s="8">
        <v>43872.0</v>
      </c>
      <c r="B88" s="9">
        <v>6.0</v>
      </c>
      <c r="C88" s="9">
        <v>2805.0</v>
      </c>
      <c r="D88" s="10" t="s">
        <v>34</v>
      </c>
      <c r="E88" s="10" t="s">
        <v>17</v>
      </c>
      <c r="F88" s="10" t="s">
        <v>168</v>
      </c>
      <c r="G88" s="10">
        <f t="shared" si="1"/>
        <v>2805</v>
      </c>
      <c r="H88" s="9" t="str">
        <f t="shared" si="2"/>
        <v/>
      </c>
      <c r="I88" s="10">
        <f t="shared" si="3"/>
        <v>2</v>
      </c>
    </row>
    <row r="89" ht="15.75" customHeight="1">
      <c r="A89" s="8">
        <v>43872.0</v>
      </c>
      <c r="B89" s="9">
        <v>8.0</v>
      </c>
      <c r="C89" s="9">
        <v>9437.0</v>
      </c>
      <c r="D89" s="10" t="s">
        <v>15</v>
      </c>
      <c r="E89" s="10" t="s">
        <v>17</v>
      </c>
      <c r="F89" s="10" t="s">
        <v>169</v>
      </c>
      <c r="G89" s="10">
        <f t="shared" si="1"/>
        <v>9437</v>
      </c>
      <c r="H89" s="9" t="str">
        <f t="shared" si="2"/>
        <v/>
      </c>
      <c r="I89" s="10">
        <f t="shared" si="3"/>
        <v>2</v>
      </c>
    </row>
    <row r="90" ht="15.75" customHeight="1">
      <c r="A90" s="8">
        <v>43872.0</v>
      </c>
      <c r="B90" s="9">
        <v>4.0</v>
      </c>
      <c r="C90" s="9">
        <v>6817.0</v>
      </c>
      <c r="D90" s="10" t="s">
        <v>31</v>
      </c>
      <c r="E90" s="10" t="s">
        <v>17</v>
      </c>
      <c r="F90" s="10" t="s">
        <v>170</v>
      </c>
      <c r="G90" s="10">
        <f t="shared" si="1"/>
        <v>6817</v>
      </c>
      <c r="H90" s="9" t="str">
        <f t="shared" si="2"/>
        <v/>
      </c>
      <c r="I90" s="10">
        <f t="shared" si="3"/>
        <v>2</v>
      </c>
    </row>
    <row r="91" ht="15.75" customHeight="1">
      <c r="A91" s="8">
        <v>43872.0</v>
      </c>
      <c r="B91" s="9">
        <v>4.0</v>
      </c>
      <c r="C91" s="9">
        <v>7809.0</v>
      </c>
      <c r="D91" s="10" t="s">
        <v>15</v>
      </c>
      <c r="E91" s="10" t="s">
        <v>17</v>
      </c>
      <c r="F91" s="10" t="s">
        <v>171</v>
      </c>
      <c r="G91" s="10">
        <f t="shared" si="1"/>
        <v>7809</v>
      </c>
      <c r="H91" s="9" t="str">
        <f t="shared" si="2"/>
        <v/>
      </c>
      <c r="I91" s="10">
        <f t="shared" si="3"/>
        <v>2</v>
      </c>
    </row>
    <row r="92" ht="15.75" customHeight="1">
      <c r="A92" s="8">
        <v>43872.0</v>
      </c>
      <c r="B92" s="9">
        <v>9.0</v>
      </c>
      <c r="C92" s="9">
        <v>6097.0</v>
      </c>
      <c r="D92" s="10" t="s">
        <v>15</v>
      </c>
      <c r="E92" s="10" t="s">
        <v>29</v>
      </c>
      <c r="F92" s="10" t="s">
        <v>172</v>
      </c>
      <c r="G92" s="9" t="str">
        <f t="shared" si="1"/>
        <v/>
      </c>
      <c r="H92" s="10">
        <f t="shared" si="2"/>
        <v>6097</v>
      </c>
      <c r="I92" s="10">
        <f t="shared" si="3"/>
        <v>2</v>
      </c>
    </row>
    <row r="93" ht="15.75" customHeight="1">
      <c r="A93" s="8">
        <v>43873.0</v>
      </c>
      <c r="B93" s="9">
        <v>7.0</v>
      </c>
      <c r="C93" s="9">
        <v>1350.0</v>
      </c>
      <c r="D93" s="10" t="s">
        <v>31</v>
      </c>
      <c r="E93" s="10" t="s">
        <v>29</v>
      </c>
      <c r="F93" s="10" t="s">
        <v>173</v>
      </c>
      <c r="G93" s="9" t="str">
        <f t="shared" si="1"/>
        <v/>
      </c>
      <c r="H93" s="9" t="str">
        <f t="shared" si="2"/>
        <v/>
      </c>
      <c r="I93" s="10">
        <f t="shared" si="3"/>
        <v>2</v>
      </c>
    </row>
    <row r="94" ht="15.75" customHeight="1">
      <c r="A94" s="8">
        <v>43874.0</v>
      </c>
      <c r="B94" s="9">
        <v>2.0</v>
      </c>
      <c r="C94" s="9">
        <v>2990.0</v>
      </c>
      <c r="D94" s="10" t="s">
        <v>34</v>
      </c>
      <c r="E94" s="10" t="s">
        <v>17</v>
      </c>
      <c r="F94" s="10" t="s">
        <v>174</v>
      </c>
      <c r="G94" s="10">
        <f t="shared" si="1"/>
        <v>2990</v>
      </c>
      <c r="H94" s="9" t="str">
        <f t="shared" si="2"/>
        <v/>
      </c>
      <c r="I94" s="10">
        <f t="shared" si="3"/>
        <v>2</v>
      </c>
    </row>
    <row r="95" ht="15.75" customHeight="1">
      <c r="A95" s="8">
        <v>43875.0</v>
      </c>
      <c r="B95" s="9">
        <v>7.0</v>
      </c>
      <c r="C95" s="9">
        <v>3304.0</v>
      </c>
      <c r="D95" s="10" t="s">
        <v>34</v>
      </c>
      <c r="E95" s="10" t="s">
        <v>17</v>
      </c>
      <c r="F95" s="10" t="s">
        <v>175</v>
      </c>
      <c r="G95" s="10">
        <f t="shared" si="1"/>
        <v>3304</v>
      </c>
      <c r="H95" s="9" t="str">
        <f t="shared" si="2"/>
        <v/>
      </c>
      <c r="I95" s="10">
        <f t="shared" si="3"/>
        <v>2</v>
      </c>
    </row>
    <row r="96" ht="15.75" customHeight="1">
      <c r="A96" s="8">
        <v>43876.0</v>
      </c>
      <c r="B96" s="9">
        <v>8.0</v>
      </c>
      <c r="C96" s="9">
        <v>9854.0</v>
      </c>
      <c r="D96" s="10" t="s">
        <v>34</v>
      </c>
      <c r="E96" s="10" t="s">
        <v>17</v>
      </c>
      <c r="F96" s="10" t="s">
        <v>176</v>
      </c>
      <c r="G96" s="10">
        <f t="shared" si="1"/>
        <v>9854</v>
      </c>
      <c r="H96" s="9" t="str">
        <f t="shared" si="2"/>
        <v/>
      </c>
      <c r="I96" s="10">
        <f t="shared" si="3"/>
        <v>2</v>
      </c>
    </row>
    <row r="97" ht="15.75" customHeight="1">
      <c r="A97" s="8">
        <v>43876.0</v>
      </c>
      <c r="B97" s="9">
        <v>10.0</v>
      </c>
      <c r="C97" s="9">
        <v>1891.0</v>
      </c>
      <c r="D97" s="10" t="s">
        <v>31</v>
      </c>
      <c r="E97" s="10" t="s">
        <v>17</v>
      </c>
      <c r="F97" s="10" t="s">
        <v>177</v>
      </c>
      <c r="G97" s="10">
        <f t="shared" si="1"/>
        <v>1891</v>
      </c>
      <c r="H97" s="9" t="str">
        <f t="shared" si="2"/>
        <v/>
      </c>
      <c r="I97" s="10">
        <f t="shared" si="3"/>
        <v>2</v>
      </c>
    </row>
    <row r="98" ht="15.75" customHeight="1">
      <c r="A98" s="8">
        <v>43876.0</v>
      </c>
      <c r="B98" s="9">
        <v>6.0</v>
      </c>
      <c r="C98" s="9">
        <v>9603.0</v>
      </c>
      <c r="D98" s="10" t="s">
        <v>95</v>
      </c>
      <c r="E98" s="10" t="s">
        <v>17</v>
      </c>
      <c r="F98" s="10" t="s">
        <v>178</v>
      </c>
      <c r="G98" s="10">
        <f t="shared" si="1"/>
        <v>9603</v>
      </c>
      <c r="H98" s="9" t="str">
        <f t="shared" si="2"/>
        <v/>
      </c>
      <c r="I98" s="10">
        <f t="shared" si="3"/>
        <v>2</v>
      </c>
    </row>
    <row r="99" ht="15.75" customHeight="1">
      <c r="A99" s="8">
        <v>43876.0</v>
      </c>
      <c r="B99" s="9">
        <v>1.0</v>
      </c>
      <c r="C99" s="9">
        <v>1948.0</v>
      </c>
      <c r="D99" s="10" t="s">
        <v>31</v>
      </c>
      <c r="E99" s="10" t="s">
        <v>17</v>
      </c>
      <c r="F99" s="10" t="s">
        <v>179</v>
      </c>
      <c r="G99" s="10">
        <f t="shared" si="1"/>
        <v>1948</v>
      </c>
      <c r="H99" s="9" t="str">
        <f t="shared" si="2"/>
        <v/>
      </c>
      <c r="I99" s="10">
        <f t="shared" si="3"/>
        <v>2</v>
      </c>
    </row>
    <row r="100" ht="15.75" customHeight="1">
      <c r="A100" s="8">
        <v>43876.0</v>
      </c>
      <c r="B100" s="9">
        <v>9.0</v>
      </c>
      <c r="C100" s="9">
        <v>6599.0</v>
      </c>
      <c r="D100" s="10" t="s">
        <v>15</v>
      </c>
      <c r="E100" s="10" t="s">
        <v>29</v>
      </c>
      <c r="F100" s="10" t="s">
        <v>180</v>
      </c>
      <c r="G100" s="9" t="str">
        <f t="shared" si="1"/>
        <v/>
      </c>
      <c r="H100" s="10">
        <f t="shared" si="2"/>
        <v>6599</v>
      </c>
      <c r="I100" s="10">
        <f t="shared" si="3"/>
        <v>2</v>
      </c>
    </row>
    <row r="101" ht="15.75" customHeight="1">
      <c r="A101" s="8">
        <v>43876.0</v>
      </c>
      <c r="B101" s="9">
        <v>9.0</v>
      </c>
      <c r="C101" s="9">
        <v>1801.0</v>
      </c>
      <c r="D101" s="10" t="s">
        <v>34</v>
      </c>
      <c r="E101" s="10" t="s">
        <v>17</v>
      </c>
      <c r="F101" s="10" t="s">
        <v>181</v>
      </c>
      <c r="G101" s="10">
        <f t="shared" si="1"/>
        <v>1801</v>
      </c>
      <c r="H101" s="9" t="str">
        <f t="shared" si="2"/>
        <v/>
      </c>
      <c r="I101" s="10">
        <f t="shared" si="3"/>
        <v>2</v>
      </c>
    </row>
    <row r="102" ht="15.75" customHeight="1">
      <c r="A102" s="8">
        <v>43878.0</v>
      </c>
      <c r="B102" s="9">
        <v>4.0</v>
      </c>
      <c r="C102" s="9">
        <v>6871.0</v>
      </c>
      <c r="D102" s="10" t="s">
        <v>15</v>
      </c>
      <c r="E102" s="10" t="s">
        <v>17</v>
      </c>
      <c r="F102" s="10" t="s">
        <v>182</v>
      </c>
      <c r="G102" s="10">
        <f t="shared" si="1"/>
        <v>6871</v>
      </c>
      <c r="H102" s="9" t="str">
        <f t="shared" si="2"/>
        <v/>
      </c>
      <c r="I102" s="10">
        <f t="shared" si="3"/>
        <v>2</v>
      </c>
    </row>
    <row r="103" ht="15.75" customHeight="1">
      <c r="A103" s="8">
        <v>43878.0</v>
      </c>
      <c r="B103" s="9">
        <v>3.0</v>
      </c>
      <c r="C103" s="9">
        <v>7089.0</v>
      </c>
      <c r="D103" s="10" t="s">
        <v>15</v>
      </c>
      <c r="E103" s="10" t="s">
        <v>29</v>
      </c>
      <c r="F103" s="10" t="s">
        <v>183</v>
      </c>
      <c r="G103" s="9" t="str">
        <f t="shared" si="1"/>
        <v/>
      </c>
      <c r="H103" s="10">
        <f t="shared" si="2"/>
        <v>7089</v>
      </c>
      <c r="I103" s="10">
        <f t="shared" si="3"/>
        <v>2</v>
      </c>
    </row>
    <row r="104" ht="15.75" customHeight="1">
      <c r="A104" s="8">
        <v>43878.0</v>
      </c>
      <c r="B104" s="9">
        <v>7.0</v>
      </c>
      <c r="C104" s="9">
        <v>4633.0</v>
      </c>
      <c r="D104" s="10" t="s">
        <v>15</v>
      </c>
      <c r="E104" s="10" t="s">
        <v>17</v>
      </c>
      <c r="F104" s="10" t="s">
        <v>184</v>
      </c>
      <c r="G104" s="10">
        <f t="shared" si="1"/>
        <v>4633</v>
      </c>
      <c r="H104" s="9" t="str">
        <f t="shared" si="2"/>
        <v/>
      </c>
      <c r="I104" s="10">
        <f t="shared" si="3"/>
        <v>2</v>
      </c>
    </row>
    <row r="105" ht="15.75" customHeight="1">
      <c r="A105" s="8">
        <v>43879.0</v>
      </c>
      <c r="B105" s="9">
        <v>3.0</v>
      </c>
      <c r="C105" s="9">
        <v>5426.0</v>
      </c>
      <c r="D105" s="10" t="s">
        <v>95</v>
      </c>
      <c r="E105" s="10" t="s">
        <v>17</v>
      </c>
      <c r="F105" s="10" t="s">
        <v>185</v>
      </c>
      <c r="G105" s="10">
        <f t="shared" si="1"/>
        <v>5426</v>
      </c>
      <c r="H105" s="9" t="str">
        <f t="shared" si="2"/>
        <v/>
      </c>
      <c r="I105" s="10">
        <f t="shared" si="3"/>
        <v>2</v>
      </c>
    </row>
    <row r="106" ht="15.75" customHeight="1">
      <c r="A106" s="8">
        <v>43879.0</v>
      </c>
      <c r="B106" s="9">
        <v>10.0</v>
      </c>
      <c r="C106" s="9">
        <v>4163.0</v>
      </c>
      <c r="D106" s="10" t="s">
        <v>15</v>
      </c>
      <c r="E106" s="10" t="s">
        <v>29</v>
      </c>
      <c r="F106" s="10" t="s">
        <v>186</v>
      </c>
      <c r="G106" s="9" t="str">
        <f t="shared" si="1"/>
        <v/>
      </c>
      <c r="H106" s="10">
        <f t="shared" si="2"/>
        <v>4163</v>
      </c>
      <c r="I106" s="10">
        <f t="shared" si="3"/>
        <v>2</v>
      </c>
    </row>
    <row r="107" ht="15.75" customHeight="1">
      <c r="A107" s="8">
        <v>43879.0</v>
      </c>
      <c r="B107" s="9">
        <v>8.0</v>
      </c>
      <c r="C107" s="9">
        <v>6957.0</v>
      </c>
      <c r="D107" s="10" t="s">
        <v>15</v>
      </c>
      <c r="E107" s="10" t="s">
        <v>17</v>
      </c>
      <c r="F107" s="10" t="s">
        <v>187</v>
      </c>
      <c r="G107" s="10">
        <f t="shared" si="1"/>
        <v>6957</v>
      </c>
      <c r="H107" s="9" t="str">
        <f t="shared" si="2"/>
        <v/>
      </c>
      <c r="I107" s="10">
        <f t="shared" si="3"/>
        <v>2</v>
      </c>
    </row>
    <row r="108" ht="15.75" customHeight="1">
      <c r="A108" s="8">
        <v>43880.0</v>
      </c>
      <c r="B108" s="9">
        <v>9.0</v>
      </c>
      <c r="C108" s="9">
        <v>8517.0</v>
      </c>
      <c r="D108" s="10" t="s">
        <v>15</v>
      </c>
      <c r="E108" s="10" t="s">
        <v>17</v>
      </c>
      <c r="F108" s="10" t="s">
        <v>188</v>
      </c>
      <c r="G108" s="10">
        <f t="shared" si="1"/>
        <v>8517</v>
      </c>
      <c r="H108" s="9" t="str">
        <f t="shared" si="2"/>
        <v/>
      </c>
      <c r="I108" s="10">
        <f t="shared" si="3"/>
        <v>2</v>
      </c>
    </row>
    <row r="109" ht="15.75" customHeight="1">
      <c r="A109" s="8">
        <v>43880.0</v>
      </c>
      <c r="B109" s="9">
        <v>4.0</v>
      </c>
      <c r="C109" s="9">
        <v>4489.0</v>
      </c>
      <c r="D109" s="10" t="s">
        <v>31</v>
      </c>
      <c r="E109" s="10" t="s">
        <v>17</v>
      </c>
      <c r="F109" s="10" t="s">
        <v>189</v>
      </c>
      <c r="G109" s="10">
        <f t="shared" si="1"/>
        <v>4489</v>
      </c>
      <c r="H109" s="9" t="str">
        <f t="shared" si="2"/>
        <v/>
      </c>
      <c r="I109" s="10">
        <f t="shared" si="3"/>
        <v>2</v>
      </c>
    </row>
    <row r="110" ht="15.75" customHeight="1">
      <c r="A110" s="8">
        <v>43880.0</v>
      </c>
      <c r="B110" s="9">
        <v>9.0</v>
      </c>
      <c r="C110" s="9">
        <v>1199.0</v>
      </c>
      <c r="D110" s="10" t="s">
        <v>15</v>
      </c>
      <c r="E110" s="10" t="s">
        <v>17</v>
      </c>
      <c r="F110" s="10" t="s">
        <v>190</v>
      </c>
      <c r="G110" s="10">
        <f t="shared" si="1"/>
        <v>1199</v>
      </c>
      <c r="H110" s="9" t="str">
        <f t="shared" si="2"/>
        <v/>
      </c>
      <c r="I110" s="10">
        <f t="shared" si="3"/>
        <v>2</v>
      </c>
    </row>
    <row r="111" ht="15.75" customHeight="1">
      <c r="A111" s="8">
        <v>43881.0</v>
      </c>
      <c r="B111" s="9">
        <v>7.0</v>
      </c>
      <c r="C111" s="9">
        <v>6764.0</v>
      </c>
      <c r="D111" s="10" t="s">
        <v>15</v>
      </c>
      <c r="E111" s="10" t="s">
        <v>17</v>
      </c>
      <c r="F111" s="10" t="s">
        <v>191</v>
      </c>
      <c r="G111" s="10">
        <f t="shared" si="1"/>
        <v>6764</v>
      </c>
      <c r="H111" s="9" t="str">
        <f t="shared" si="2"/>
        <v/>
      </c>
      <c r="I111" s="10">
        <f t="shared" si="3"/>
        <v>2</v>
      </c>
    </row>
    <row r="112" ht="15.75" customHeight="1">
      <c r="A112" s="8">
        <v>43881.0</v>
      </c>
      <c r="B112" s="9">
        <v>8.0</v>
      </c>
      <c r="C112" s="9">
        <v>6289.0</v>
      </c>
      <c r="D112" s="10" t="s">
        <v>34</v>
      </c>
      <c r="E112" s="10" t="s">
        <v>29</v>
      </c>
      <c r="F112" s="10" t="s">
        <v>192</v>
      </c>
      <c r="G112" s="9" t="str">
        <f t="shared" si="1"/>
        <v/>
      </c>
      <c r="H112" s="9" t="str">
        <f t="shared" si="2"/>
        <v/>
      </c>
      <c r="I112" s="10">
        <f t="shared" si="3"/>
        <v>2</v>
      </c>
    </row>
    <row r="113" ht="15.75" customHeight="1">
      <c r="A113" s="8">
        <v>43881.0</v>
      </c>
      <c r="B113" s="9">
        <v>4.0</v>
      </c>
      <c r="C113" s="9">
        <v>3150.0</v>
      </c>
      <c r="D113" s="10" t="s">
        <v>95</v>
      </c>
      <c r="E113" s="10" t="s">
        <v>17</v>
      </c>
      <c r="F113" s="10" t="s">
        <v>193</v>
      </c>
      <c r="G113" s="10">
        <f t="shared" si="1"/>
        <v>3150</v>
      </c>
      <c r="H113" s="9" t="str">
        <f t="shared" si="2"/>
        <v/>
      </c>
      <c r="I113" s="10">
        <f t="shared" si="3"/>
        <v>2</v>
      </c>
    </row>
    <row r="114" ht="15.75" customHeight="1">
      <c r="A114" s="8">
        <v>43883.0</v>
      </c>
      <c r="B114" s="9">
        <v>9.0</v>
      </c>
      <c r="C114" s="9">
        <v>496.0</v>
      </c>
      <c r="D114" s="10" t="s">
        <v>15</v>
      </c>
      <c r="E114" s="10" t="s">
        <v>29</v>
      </c>
      <c r="F114" s="10" t="s">
        <v>194</v>
      </c>
      <c r="G114" s="9" t="str">
        <f t="shared" si="1"/>
        <v/>
      </c>
      <c r="H114" s="10">
        <f t="shared" si="2"/>
        <v>496</v>
      </c>
      <c r="I114" s="10">
        <f t="shared" si="3"/>
        <v>2</v>
      </c>
    </row>
    <row r="115" ht="15.75" customHeight="1">
      <c r="A115" s="8">
        <v>43884.0</v>
      </c>
      <c r="B115" s="9">
        <v>8.0</v>
      </c>
      <c r="C115" s="9">
        <v>4554.0</v>
      </c>
      <c r="D115" s="10" t="s">
        <v>31</v>
      </c>
      <c r="E115" s="10" t="s">
        <v>17</v>
      </c>
      <c r="F115" s="10" t="s">
        <v>195</v>
      </c>
      <c r="G115" s="10">
        <f t="shared" si="1"/>
        <v>4554</v>
      </c>
      <c r="H115" s="9" t="str">
        <f t="shared" si="2"/>
        <v/>
      </c>
      <c r="I115" s="10">
        <f t="shared" si="3"/>
        <v>2</v>
      </c>
    </row>
    <row r="116" ht="15.75" customHeight="1">
      <c r="A116" s="8">
        <v>43884.0</v>
      </c>
      <c r="B116" s="9">
        <v>6.0</v>
      </c>
      <c r="C116" s="9">
        <v>796.0</v>
      </c>
      <c r="D116" s="10" t="s">
        <v>15</v>
      </c>
      <c r="E116" s="10" t="s">
        <v>17</v>
      </c>
      <c r="F116" s="10" t="s">
        <v>196</v>
      </c>
      <c r="G116" s="10">
        <f t="shared" si="1"/>
        <v>796</v>
      </c>
      <c r="H116" s="9" t="str">
        <f t="shared" si="2"/>
        <v/>
      </c>
      <c r="I116" s="10">
        <f t="shared" si="3"/>
        <v>2</v>
      </c>
    </row>
    <row r="117" ht="15.75" customHeight="1">
      <c r="A117" s="8">
        <v>43885.0</v>
      </c>
      <c r="B117" s="9">
        <v>3.0</v>
      </c>
      <c r="C117" s="9">
        <v>9140.0</v>
      </c>
      <c r="D117" s="10" t="s">
        <v>31</v>
      </c>
      <c r="E117" s="10" t="s">
        <v>29</v>
      </c>
      <c r="F117" s="10" t="s">
        <v>197</v>
      </c>
      <c r="G117" s="9" t="str">
        <f t="shared" si="1"/>
        <v/>
      </c>
      <c r="H117" s="9" t="str">
        <f t="shared" si="2"/>
        <v/>
      </c>
      <c r="I117" s="10">
        <f t="shared" si="3"/>
        <v>2</v>
      </c>
    </row>
    <row r="118" ht="15.75" customHeight="1">
      <c r="A118" s="8">
        <v>43885.0</v>
      </c>
      <c r="B118" s="9">
        <v>9.0</v>
      </c>
      <c r="C118" s="9">
        <v>1234.0</v>
      </c>
      <c r="D118" s="10" t="s">
        <v>34</v>
      </c>
      <c r="E118" s="10" t="s">
        <v>17</v>
      </c>
      <c r="F118" s="10" t="s">
        <v>198</v>
      </c>
      <c r="G118" s="10">
        <f t="shared" si="1"/>
        <v>1234</v>
      </c>
      <c r="H118" s="9" t="str">
        <f t="shared" si="2"/>
        <v/>
      </c>
      <c r="I118" s="10">
        <f t="shared" si="3"/>
        <v>2</v>
      </c>
    </row>
    <row r="119" ht="15.75" customHeight="1">
      <c r="A119" s="8">
        <v>43885.0</v>
      </c>
      <c r="B119" s="9">
        <v>3.0</v>
      </c>
      <c r="C119" s="9">
        <v>9872.0</v>
      </c>
      <c r="D119" s="10" t="s">
        <v>15</v>
      </c>
      <c r="E119" s="10" t="s">
        <v>29</v>
      </c>
      <c r="F119" s="10" t="s">
        <v>199</v>
      </c>
      <c r="G119" s="9" t="str">
        <f t="shared" si="1"/>
        <v/>
      </c>
      <c r="H119" s="10">
        <f t="shared" si="2"/>
        <v>9872</v>
      </c>
      <c r="I119" s="10">
        <f t="shared" si="3"/>
        <v>2</v>
      </c>
    </row>
    <row r="120" ht="15.75" customHeight="1">
      <c r="A120" s="8">
        <v>43886.0</v>
      </c>
      <c r="B120" s="9">
        <v>9.0</v>
      </c>
      <c r="C120" s="9">
        <v>3364.0</v>
      </c>
      <c r="D120" s="10" t="s">
        <v>34</v>
      </c>
      <c r="E120" s="10" t="s">
        <v>17</v>
      </c>
      <c r="F120" s="10" t="s">
        <v>200</v>
      </c>
      <c r="G120" s="10">
        <f t="shared" si="1"/>
        <v>3364</v>
      </c>
      <c r="H120" s="9" t="str">
        <f t="shared" si="2"/>
        <v/>
      </c>
      <c r="I120" s="10">
        <f t="shared" si="3"/>
        <v>2</v>
      </c>
    </row>
    <row r="121" ht="15.75" customHeight="1">
      <c r="A121" s="8">
        <v>43886.0</v>
      </c>
      <c r="B121" s="9">
        <v>3.0</v>
      </c>
      <c r="C121" s="9">
        <v>4515.0</v>
      </c>
      <c r="D121" s="10" t="s">
        <v>15</v>
      </c>
      <c r="E121" s="10" t="s">
        <v>17</v>
      </c>
      <c r="F121" s="10" t="s">
        <v>201</v>
      </c>
      <c r="G121" s="10">
        <f t="shared" si="1"/>
        <v>4515</v>
      </c>
      <c r="H121" s="9" t="str">
        <f t="shared" si="2"/>
        <v/>
      </c>
      <c r="I121" s="10">
        <f t="shared" si="3"/>
        <v>2</v>
      </c>
    </row>
    <row r="122" ht="15.75" customHeight="1">
      <c r="A122" s="8">
        <v>43886.0</v>
      </c>
      <c r="B122" s="9">
        <v>3.0</v>
      </c>
      <c r="C122" s="9">
        <v>7992.0</v>
      </c>
      <c r="D122" s="10" t="s">
        <v>15</v>
      </c>
      <c r="E122" s="10" t="s">
        <v>29</v>
      </c>
      <c r="F122" s="10" t="s">
        <v>202</v>
      </c>
      <c r="G122" s="9" t="str">
        <f t="shared" si="1"/>
        <v/>
      </c>
      <c r="H122" s="10">
        <f t="shared" si="2"/>
        <v>7992</v>
      </c>
      <c r="I122" s="10">
        <f t="shared" si="3"/>
        <v>2</v>
      </c>
    </row>
    <row r="123" ht="15.75" customHeight="1">
      <c r="A123" s="8">
        <v>43886.0</v>
      </c>
      <c r="B123" s="9">
        <v>5.0</v>
      </c>
      <c r="C123" s="9">
        <v>6727.0</v>
      </c>
      <c r="D123" s="10" t="s">
        <v>15</v>
      </c>
      <c r="E123" s="10" t="s">
        <v>17</v>
      </c>
      <c r="F123" s="10" t="s">
        <v>203</v>
      </c>
      <c r="G123" s="10">
        <f t="shared" si="1"/>
        <v>6727</v>
      </c>
      <c r="H123" s="9" t="str">
        <f t="shared" si="2"/>
        <v/>
      </c>
      <c r="I123" s="10">
        <f t="shared" si="3"/>
        <v>2</v>
      </c>
    </row>
    <row r="124" ht="15.75" customHeight="1">
      <c r="A124" s="8">
        <v>43887.0</v>
      </c>
      <c r="B124" s="9">
        <v>2.0</v>
      </c>
      <c r="C124" s="9">
        <v>7996.0</v>
      </c>
      <c r="D124" s="10" t="s">
        <v>15</v>
      </c>
      <c r="E124" s="10" t="s">
        <v>17</v>
      </c>
      <c r="F124" s="10" t="s">
        <v>204</v>
      </c>
      <c r="G124" s="10">
        <f t="shared" si="1"/>
        <v>7996</v>
      </c>
      <c r="H124" s="9" t="str">
        <f t="shared" si="2"/>
        <v/>
      </c>
      <c r="I124" s="10">
        <f t="shared" si="3"/>
        <v>2</v>
      </c>
    </row>
    <row r="125" ht="15.75" customHeight="1">
      <c r="A125" s="8">
        <v>43887.0</v>
      </c>
      <c r="B125" s="9">
        <v>6.0</v>
      </c>
      <c r="C125" s="9">
        <v>1781.0</v>
      </c>
      <c r="D125" s="10" t="s">
        <v>15</v>
      </c>
      <c r="E125" s="10" t="s">
        <v>17</v>
      </c>
      <c r="F125" s="10" t="s">
        <v>205</v>
      </c>
      <c r="G125" s="10">
        <f t="shared" si="1"/>
        <v>1781</v>
      </c>
      <c r="H125" s="9" t="str">
        <f t="shared" si="2"/>
        <v/>
      </c>
      <c r="I125" s="10">
        <f t="shared" si="3"/>
        <v>2</v>
      </c>
    </row>
    <row r="126" ht="15.75" customHeight="1">
      <c r="A126" s="8">
        <v>43888.0</v>
      </c>
      <c r="B126" s="9">
        <v>6.0</v>
      </c>
      <c r="C126" s="9">
        <v>8115.0</v>
      </c>
      <c r="D126" s="10" t="s">
        <v>15</v>
      </c>
      <c r="E126" s="10" t="s">
        <v>17</v>
      </c>
      <c r="F126" s="10" t="s">
        <v>206</v>
      </c>
      <c r="G126" s="10">
        <f t="shared" si="1"/>
        <v>8115</v>
      </c>
      <c r="H126" s="9" t="str">
        <f t="shared" si="2"/>
        <v/>
      </c>
      <c r="I126" s="10">
        <f t="shared" si="3"/>
        <v>2</v>
      </c>
    </row>
    <row r="127" ht="15.75" customHeight="1">
      <c r="A127" s="8">
        <v>43888.0</v>
      </c>
      <c r="B127" s="9">
        <v>9.0</v>
      </c>
      <c r="C127" s="9">
        <v>1342.0</v>
      </c>
      <c r="D127" s="10" t="s">
        <v>15</v>
      </c>
      <c r="E127" s="10" t="s">
        <v>17</v>
      </c>
      <c r="F127" s="10" t="s">
        <v>207</v>
      </c>
      <c r="G127" s="10">
        <f t="shared" si="1"/>
        <v>1342</v>
      </c>
      <c r="H127" s="9" t="str">
        <f t="shared" si="2"/>
        <v/>
      </c>
      <c r="I127" s="10">
        <f t="shared" si="3"/>
        <v>2</v>
      </c>
    </row>
    <row r="128" ht="15.75" customHeight="1">
      <c r="A128" s="8">
        <v>43888.0</v>
      </c>
      <c r="B128" s="9">
        <v>2.0</v>
      </c>
      <c r="C128" s="9">
        <v>4442.0</v>
      </c>
      <c r="D128" s="10" t="s">
        <v>42</v>
      </c>
      <c r="E128" s="10" t="s">
        <v>17</v>
      </c>
      <c r="F128" s="10" t="s">
        <v>208</v>
      </c>
      <c r="G128" s="10">
        <f t="shared" si="1"/>
        <v>4442</v>
      </c>
      <c r="H128" s="9" t="str">
        <f t="shared" si="2"/>
        <v/>
      </c>
      <c r="I128" s="10">
        <f t="shared" si="3"/>
        <v>2</v>
      </c>
    </row>
    <row r="129" ht="15.75" customHeight="1">
      <c r="A129" s="8">
        <v>43890.0</v>
      </c>
      <c r="B129" s="9">
        <v>6.0</v>
      </c>
      <c r="C129" s="9">
        <v>7571.0</v>
      </c>
      <c r="D129" s="10" t="s">
        <v>15</v>
      </c>
      <c r="E129" s="10" t="s">
        <v>17</v>
      </c>
      <c r="F129" s="10" t="s">
        <v>209</v>
      </c>
      <c r="G129" s="10">
        <f t="shared" si="1"/>
        <v>7571</v>
      </c>
      <c r="H129" s="9" t="str">
        <f t="shared" si="2"/>
        <v/>
      </c>
      <c r="I129" s="10">
        <f t="shared" si="3"/>
        <v>2</v>
      </c>
    </row>
    <row r="130" ht="15.75" customHeight="1">
      <c r="A130" s="8">
        <v>43890.0</v>
      </c>
      <c r="B130" s="9">
        <v>4.0</v>
      </c>
      <c r="C130" s="9">
        <v>9429.0</v>
      </c>
      <c r="D130" s="10" t="s">
        <v>15</v>
      </c>
      <c r="E130" s="10" t="s">
        <v>17</v>
      </c>
      <c r="F130" s="10" t="s">
        <v>210</v>
      </c>
      <c r="G130" s="10">
        <f t="shared" si="1"/>
        <v>9429</v>
      </c>
      <c r="H130" s="9" t="str">
        <f t="shared" si="2"/>
        <v/>
      </c>
      <c r="I130" s="10">
        <f t="shared" si="3"/>
        <v>2</v>
      </c>
    </row>
    <row r="131" ht="15.75" customHeight="1">
      <c r="A131" s="8">
        <v>43891.0</v>
      </c>
      <c r="B131" s="9">
        <v>6.0</v>
      </c>
      <c r="C131" s="9">
        <v>2387.0</v>
      </c>
      <c r="D131" s="10" t="s">
        <v>15</v>
      </c>
      <c r="E131" s="10" t="s">
        <v>17</v>
      </c>
      <c r="F131" s="10" t="s">
        <v>211</v>
      </c>
      <c r="G131" s="10">
        <f t="shared" si="1"/>
        <v>2387</v>
      </c>
      <c r="H131" s="9" t="str">
        <f t="shared" si="2"/>
        <v/>
      </c>
      <c r="I131" s="10">
        <f t="shared" si="3"/>
        <v>3</v>
      </c>
    </row>
    <row r="132" ht="15.75" customHeight="1">
      <c r="A132" s="8">
        <v>43891.0</v>
      </c>
      <c r="B132" s="9">
        <v>7.0</v>
      </c>
      <c r="C132" s="9">
        <v>6941.0</v>
      </c>
      <c r="D132" s="10" t="s">
        <v>15</v>
      </c>
      <c r="E132" s="10" t="s">
        <v>17</v>
      </c>
      <c r="F132" s="10" t="s">
        <v>212</v>
      </c>
      <c r="G132" s="10">
        <f t="shared" si="1"/>
        <v>6941</v>
      </c>
      <c r="H132" s="9" t="str">
        <f t="shared" si="2"/>
        <v/>
      </c>
      <c r="I132" s="10">
        <f t="shared" si="3"/>
        <v>3</v>
      </c>
    </row>
    <row r="133" ht="15.75" customHeight="1">
      <c r="A133" s="8">
        <v>43891.0</v>
      </c>
      <c r="B133" s="9">
        <v>10.0</v>
      </c>
      <c r="C133" s="9">
        <v>2451.0</v>
      </c>
      <c r="D133" s="10" t="s">
        <v>31</v>
      </c>
      <c r="E133" s="10" t="s">
        <v>17</v>
      </c>
      <c r="F133" s="10" t="s">
        <v>213</v>
      </c>
      <c r="G133" s="10">
        <f t="shared" si="1"/>
        <v>2451</v>
      </c>
      <c r="H133" s="9" t="str">
        <f t="shared" si="2"/>
        <v/>
      </c>
      <c r="I133" s="10">
        <f t="shared" si="3"/>
        <v>3</v>
      </c>
    </row>
    <row r="134" ht="15.75" customHeight="1">
      <c r="A134" s="8">
        <v>43891.0</v>
      </c>
      <c r="B134" s="9">
        <v>4.0</v>
      </c>
      <c r="C134" s="9">
        <v>8778.0</v>
      </c>
      <c r="D134" s="10" t="s">
        <v>31</v>
      </c>
      <c r="E134" s="10" t="s">
        <v>29</v>
      </c>
      <c r="F134" s="10" t="s">
        <v>214</v>
      </c>
      <c r="G134" s="9" t="str">
        <f t="shared" si="1"/>
        <v/>
      </c>
      <c r="H134" s="9" t="str">
        <f t="shared" si="2"/>
        <v/>
      </c>
      <c r="I134" s="10">
        <f t="shared" si="3"/>
        <v>3</v>
      </c>
    </row>
    <row r="135" ht="15.75" customHeight="1">
      <c r="A135" s="8">
        <v>43892.0</v>
      </c>
      <c r="B135" s="9">
        <v>6.0</v>
      </c>
      <c r="C135" s="9">
        <v>8126.0</v>
      </c>
      <c r="D135" s="10" t="s">
        <v>31</v>
      </c>
      <c r="E135" s="10" t="s">
        <v>17</v>
      </c>
      <c r="F135" s="10" t="s">
        <v>215</v>
      </c>
      <c r="G135" s="10">
        <f t="shared" si="1"/>
        <v>8126</v>
      </c>
      <c r="H135" s="9" t="str">
        <f t="shared" si="2"/>
        <v/>
      </c>
      <c r="I135" s="10">
        <f t="shared" si="3"/>
        <v>3</v>
      </c>
    </row>
    <row r="136" ht="15.75" customHeight="1">
      <c r="A136" s="8">
        <v>43892.0</v>
      </c>
      <c r="B136" s="9">
        <v>8.0</v>
      </c>
      <c r="C136" s="9">
        <v>3851.0</v>
      </c>
      <c r="D136" s="10" t="s">
        <v>15</v>
      </c>
      <c r="E136" s="10" t="s">
        <v>17</v>
      </c>
      <c r="F136" s="10" t="s">
        <v>216</v>
      </c>
      <c r="G136" s="10">
        <f t="shared" si="1"/>
        <v>3851</v>
      </c>
      <c r="H136" s="9" t="str">
        <f t="shared" si="2"/>
        <v/>
      </c>
      <c r="I136" s="10">
        <f t="shared" si="3"/>
        <v>3</v>
      </c>
    </row>
    <row r="137" ht="15.75" customHeight="1">
      <c r="A137" s="8">
        <v>43892.0</v>
      </c>
      <c r="B137" s="9">
        <v>4.0</v>
      </c>
      <c r="C137" s="9">
        <v>1411.0</v>
      </c>
      <c r="D137" s="10" t="s">
        <v>42</v>
      </c>
      <c r="E137" s="10" t="s">
        <v>17</v>
      </c>
      <c r="F137" s="10" t="s">
        <v>217</v>
      </c>
      <c r="G137" s="10">
        <f t="shared" si="1"/>
        <v>1411</v>
      </c>
      <c r="H137" s="9" t="str">
        <f t="shared" si="2"/>
        <v/>
      </c>
      <c r="I137" s="10">
        <f t="shared" si="3"/>
        <v>3</v>
      </c>
    </row>
    <row r="138" ht="15.75" customHeight="1">
      <c r="A138" s="8">
        <v>43893.0</v>
      </c>
      <c r="B138" s="9">
        <v>4.0</v>
      </c>
      <c r="C138" s="9">
        <v>3036.0</v>
      </c>
      <c r="D138" s="10" t="s">
        <v>42</v>
      </c>
      <c r="E138" s="10" t="s">
        <v>17</v>
      </c>
      <c r="F138" s="10" t="s">
        <v>218</v>
      </c>
      <c r="G138" s="10">
        <f t="shared" si="1"/>
        <v>3036</v>
      </c>
      <c r="H138" s="9" t="str">
        <f t="shared" si="2"/>
        <v/>
      </c>
      <c r="I138" s="10">
        <f t="shared" si="3"/>
        <v>3</v>
      </c>
    </row>
    <row r="139" ht="15.75" customHeight="1">
      <c r="A139" s="8">
        <v>43894.0</v>
      </c>
      <c r="B139" s="9">
        <v>9.0</v>
      </c>
      <c r="C139" s="9">
        <v>6455.0</v>
      </c>
      <c r="D139" s="10" t="s">
        <v>15</v>
      </c>
      <c r="E139" s="10" t="s">
        <v>17</v>
      </c>
      <c r="F139" s="10" t="s">
        <v>219</v>
      </c>
      <c r="G139" s="10">
        <f t="shared" si="1"/>
        <v>6455</v>
      </c>
      <c r="H139" s="9" t="str">
        <f t="shared" si="2"/>
        <v/>
      </c>
      <c r="I139" s="10">
        <f t="shared" si="3"/>
        <v>3</v>
      </c>
    </row>
    <row r="140" ht="15.75" customHeight="1">
      <c r="A140" s="8">
        <v>43895.0</v>
      </c>
      <c r="B140" s="9">
        <v>4.0</v>
      </c>
      <c r="C140" s="9">
        <v>8782.0</v>
      </c>
      <c r="D140" s="10" t="s">
        <v>15</v>
      </c>
      <c r="E140" s="10" t="s">
        <v>17</v>
      </c>
      <c r="F140" s="10" t="s">
        <v>220</v>
      </c>
      <c r="G140" s="10">
        <f t="shared" si="1"/>
        <v>8782</v>
      </c>
      <c r="H140" s="9" t="str">
        <f t="shared" si="2"/>
        <v/>
      </c>
      <c r="I140" s="10">
        <f t="shared" si="3"/>
        <v>3</v>
      </c>
    </row>
    <row r="141" ht="15.75" customHeight="1">
      <c r="A141" s="8">
        <v>43896.0</v>
      </c>
      <c r="B141" s="9">
        <v>1.0</v>
      </c>
      <c r="C141" s="9">
        <v>3213.0</v>
      </c>
      <c r="D141" s="10" t="s">
        <v>95</v>
      </c>
      <c r="E141" s="10" t="s">
        <v>17</v>
      </c>
      <c r="F141" s="10" t="s">
        <v>221</v>
      </c>
      <c r="G141" s="10">
        <f t="shared" si="1"/>
        <v>3213</v>
      </c>
      <c r="H141" s="9" t="str">
        <f t="shared" si="2"/>
        <v/>
      </c>
      <c r="I141" s="10">
        <f t="shared" si="3"/>
        <v>3</v>
      </c>
    </row>
    <row r="142" ht="15.75" customHeight="1">
      <c r="A142" s="8">
        <v>43896.0</v>
      </c>
      <c r="B142" s="9">
        <v>1.0</v>
      </c>
      <c r="C142" s="9">
        <v>1981.0</v>
      </c>
      <c r="D142" s="10" t="s">
        <v>15</v>
      </c>
      <c r="E142" s="10" t="s">
        <v>17</v>
      </c>
      <c r="F142" s="10" t="s">
        <v>222</v>
      </c>
      <c r="G142" s="10">
        <f t="shared" si="1"/>
        <v>1981</v>
      </c>
      <c r="H142" s="9" t="str">
        <f t="shared" si="2"/>
        <v/>
      </c>
      <c r="I142" s="10">
        <f t="shared" si="3"/>
        <v>3</v>
      </c>
    </row>
    <row r="143" ht="15.75" customHeight="1">
      <c r="A143" s="8">
        <v>43896.0</v>
      </c>
      <c r="B143" s="9">
        <v>10.0</v>
      </c>
      <c r="C143" s="9">
        <v>1189.0</v>
      </c>
      <c r="D143" s="10" t="s">
        <v>15</v>
      </c>
      <c r="E143" s="10" t="s">
        <v>17</v>
      </c>
      <c r="F143" s="10" t="s">
        <v>223</v>
      </c>
      <c r="G143" s="10">
        <f t="shared" si="1"/>
        <v>1189</v>
      </c>
      <c r="H143" s="9" t="str">
        <f t="shared" si="2"/>
        <v/>
      </c>
      <c r="I143" s="10">
        <f t="shared" si="3"/>
        <v>3</v>
      </c>
    </row>
    <row r="144" ht="15.75" customHeight="1">
      <c r="A144" s="8">
        <v>43898.0</v>
      </c>
      <c r="B144" s="9">
        <v>6.0</v>
      </c>
      <c r="C144" s="9">
        <v>2458.0</v>
      </c>
      <c r="D144" s="10" t="s">
        <v>31</v>
      </c>
      <c r="E144" s="10" t="s">
        <v>29</v>
      </c>
      <c r="F144" s="10" t="s">
        <v>224</v>
      </c>
      <c r="G144" s="9" t="str">
        <f t="shared" si="1"/>
        <v/>
      </c>
      <c r="H144" s="9" t="str">
        <f t="shared" si="2"/>
        <v/>
      </c>
      <c r="I144" s="10">
        <f t="shared" si="3"/>
        <v>3</v>
      </c>
    </row>
    <row r="145" ht="15.75" customHeight="1">
      <c r="A145" s="8">
        <v>43898.0</v>
      </c>
      <c r="B145" s="9">
        <v>3.0</v>
      </c>
      <c r="C145" s="9">
        <v>7171.0</v>
      </c>
      <c r="D145" s="10" t="s">
        <v>15</v>
      </c>
      <c r="E145" s="10" t="s">
        <v>29</v>
      </c>
      <c r="F145" s="10" t="s">
        <v>225</v>
      </c>
      <c r="G145" s="9" t="str">
        <f t="shared" si="1"/>
        <v/>
      </c>
      <c r="H145" s="10">
        <f t="shared" si="2"/>
        <v>7171</v>
      </c>
      <c r="I145" s="10">
        <f t="shared" si="3"/>
        <v>3</v>
      </c>
    </row>
    <row r="146" ht="15.75" customHeight="1">
      <c r="A146" s="8">
        <v>43899.0</v>
      </c>
      <c r="B146" s="9">
        <v>7.0</v>
      </c>
      <c r="C146" s="9">
        <v>842.0</v>
      </c>
      <c r="D146" s="10" t="s">
        <v>15</v>
      </c>
      <c r="E146" s="10" t="s">
        <v>29</v>
      </c>
      <c r="F146" s="10" t="s">
        <v>226</v>
      </c>
      <c r="G146" s="9" t="str">
        <f t="shared" si="1"/>
        <v/>
      </c>
      <c r="H146" s="10">
        <f t="shared" si="2"/>
        <v>842</v>
      </c>
      <c r="I146" s="10">
        <f t="shared" si="3"/>
        <v>3</v>
      </c>
    </row>
    <row r="147" ht="15.75" customHeight="1">
      <c r="A147" s="8">
        <v>43899.0</v>
      </c>
      <c r="B147" s="9">
        <v>7.0</v>
      </c>
      <c r="C147" s="9">
        <v>4313.0</v>
      </c>
      <c r="D147" s="10" t="s">
        <v>31</v>
      </c>
      <c r="E147" s="10" t="s">
        <v>29</v>
      </c>
      <c r="F147" s="10" t="s">
        <v>227</v>
      </c>
      <c r="G147" s="9" t="str">
        <f t="shared" si="1"/>
        <v/>
      </c>
      <c r="H147" s="9" t="str">
        <f t="shared" si="2"/>
        <v/>
      </c>
      <c r="I147" s="10">
        <f t="shared" si="3"/>
        <v>3</v>
      </c>
    </row>
    <row r="148" ht="15.75" customHeight="1">
      <c r="A148" s="8">
        <v>43899.0</v>
      </c>
      <c r="B148" s="9">
        <v>5.0</v>
      </c>
      <c r="C148" s="9">
        <v>1459.0</v>
      </c>
      <c r="D148" s="10" t="s">
        <v>34</v>
      </c>
      <c r="E148" s="10" t="s">
        <v>17</v>
      </c>
      <c r="F148" s="10" t="s">
        <v>228</v>
      </c>
      <c r="G148" s="10">
        <f t="shared" si="1"/>
        <v>1459</v>
      </c>
      <c r="H148" s="9" t="str">
        <f t="shared" si="2"/>
        <v/>
      </c>
      <c r="I148" s="10">
        <f t="shared" si="3"/>
        <v>3</v>
      </c>
    </row>
    <row r="149" ht="15.75" customHeight="1">
      <c r="A149" s="8">
        <v>43900.0</v>
      </c>
      <c r="B149" s="9">
        <v>2.0</v>
      </c>
      <c r="C149" s="9">
        <v>3494.0</v>
      </c>
      <c r="D149" s="10" t="s">
        <v>15</v>
      </c>
      <c r="E149" s="10" t="s">
        <v>29</v>
      </c>
      <c r="F149" s="10" t="s">
        <v>229</v>
      </c>
      <c r="G149" s="9" t="str">
        <f t="shared" si="1"/>
        <v/>
      </c>
      <c r="H149" s="10">
        <f t="shared" si="2"/>
        <v>3494</v>
      </c>
      <c r="I149" s="10">
        <f t="shared" si="3"/>
        <v>3</v>
      </c>
    </row>
    <row r="150" ht="15.75" customHeight="1">
      <c r="A150" s="8">
        <v>43901.0</v>
      </c>
      <c r="B150" s="9">
        <v>8.0</v>
      </c>
      <c r="C150" s="9">
        <v>900.0</v>
      </c>
      <c r="D150" s="10" t="s">
        <v>15</v>
      </c>
      <c r="E150" s="10" t="s">
        <v>29</v>
      </c>
      <c r="F150" s="10" t="s">
        <v>230</v>
      </c>
      <c r="G150" s="9" t="str">
        <f t="shared" si="1"/>
        <v/>
      </c>
      <c r="H150" s="10">
        <f t="shared" si="2"/>
        <v>900</v>
      </c>
      <c r="I150" s="10">
        <f t="shared" si="3"/>
        <v>3</v>
      </c>
    </row>
    <row r="151" ht="15.75" customHeight="1">
      <c r="A151" s="8">
        <v>43901.0</v>
      </c>
      <c r="B151" s="9">
        <v>5.0</v>
      </c>
      <c r="C151" s="9">
        <v>5531.0</v>
      </c>
      <c r="D151" s="10" t="s">
        <v>34</v>
      </c>
      <c r="E151" s="10" t="s">
        <v>17</v>
      </c>
      <c r="F151" s="10" t="s">
        <v>231</v>
      </c>
      <c r="G151" s="10">
        <f t="shared" si="1"/>
        <v>5531</v>
      </c>
      <c r="H151" s="9" t="str">
        <f t="shared" si="2"/>
        <v/>
      </c>
      <c r="I151" s="10">
        <f t="shared" si="3"/>
        <v>3</v>
      </c>
    </row>
    <row r="152" ht="15.75" customHeight="1">
      <c r="A152" s="8">
        <v>43903.0</v>
      </c>
      <c r="B152" s="9">
        <v>9.0</v>
      </c>
      <c r="C152" s="9">
        <v>8348.0</v>
      </c>
      <c r="D152" s="10" t="s">
        <v>31</v>
      </c>
      <c r="E152" s="10" t="s">
        <v>17</v>
      </c>
      <c r="F152" s="10" t="s">
        <v>232</v>
      </c>
      <c r="G152" s="10">
        <f t="shared" si="1"/>
        <v>8348</v>
      </c>
      <c r="H152" s="9" t="str">
        <f t="shared" si="2"/>
        <v/>
      </c>
      <c r="I152" s="10">
        <f t="shared" si="3"/>
        <v>3</v>
      </c>
    </row>
    <row r="153" ht="15.75" customHeight="1">
      <c r="A153" s="8">
        <v>43903.0</v>
      </c>
      <c r="B153" s="9">
        <v>2.0</v>
      </c>
      <c r="C153" s="9">
        <v>4723.0</v>
      </c>
      <c r="D153" s="10" t="s">
        <v>15</v>
      </c>
      <c r="E153" s="10" t="s">
        <v>17</v>
      </c>
      <c r="F153" s="10" t="s">
        <v>233</v>
      </c>
      <c r="G153" s="10">
        <f t="shared" si="1"/>
        <v>4723</v>
      </c>
      <c r="H153" s="9" t="str">
        <f t="shared" si="2"/>
        <v/>
      </c>
      <c r="I153" s="10">
        <f t="shared" si="3"/>
        <v>3</v>
      </c>
    </row>
    <row r="154" ht="15.75" customHeight="1">
      <c r="A154" s="8">
        <v>43904.0</v>
      </c>
      <c r="B154" s="9">
        <v>8.0</v>
      </c>
      <c r="C154" s="9">
        <v>8031.0</v>
      </c>
      <c r="D154" s="10" t="s">
        <v>15</v>
      </c>
      <c r="E154" s="10" t="s">
        <v>29</v>
      </c>
      <c r="F154" s="10" t="s">
        <v>234</v>
      </c>
      <c r="G154" s="9" t="str">
        <f t="shared" si="1"/>
        <v/>
      </c>
      <c r="H154" s="10">
        <f t="shared" si="2"/>
        <v>8031</v>
      </c>
      <c r="I154" s="10">
        <f t="shared" si="3"/>
        <v>3</v>
      </c>
    </row>
    <row r="155" ht="15.75" customHeight="1">
      <c r="A155" s="8">
        <v>43904.0</v>
      </c>
      <c r="B155" s="9">
        <v>8.0</v>
      </c>
      <c r="C155" s="9">
        <v>7899.0</v>
      </c>
      <c r="D155" s="10" t="s">
        <v>15</v>
      </c>
      <c r="E155" s="10" t="s">
        <v>17</v>
      </c>
      <c r="F155" s="10" t="s">
        <v>235</v>
      </c>
      <c r="G155" s="10">
        <f t="shared" si="1"/>
        <v>7899</v>
      </c>
      <c r="H155" s="9" t="str">
        <f t="shared" si="2"/>
        <v/>
      </c>
      <c r="I155" s="10">
        <f t="shared" si="3"/>
        <v>3</v>
      </c>
    </row>
    <row r="156" ht="15.75" customHeight="1">
      <c r="A156" s="8">
        <v>43904.0</v>
      </c>
      <c r="B156" s="9">
        <v>8.0</v>
      </c>
      <c r="C156" s="9">
        <v>535.0</v>
      </c>
      <c r="D156" s="10" t="s">
        <v>15</v>
      </c>
      <c r="E156" s="10" t="s">
        <v>17</v>
      </c>
      <c r="F156" s="10" t="s">
        <v>236</v>
      </c>
      <c r="G156" s="10">
        <f t="shared" si="1"/>
        <v>535</v>
      </c>
      <c r="H156" s="9" t="str">
        <f t="shared" si="2"/>
        <v/>
      </c>
      <c r="I156" s="10">
        <f t="shared" si="3"/>
        <v>3</v>
      </c>
    </row>
    <row r="157" ht="15.75" customHeight="1">
      <c r="A157" s="8">
        <v>43905.0</v>
      </c>
      <c r="B157" s="9">
        <v>2.0</v>
      </c>
      <c r="C157" s="9">
        <v>1283.0</v>
      </c>
      <c r="D157" s="10" t="s">
        <v>31</v>
      </c>
      <c r="E157" s="10" t="s">
        <v>17</v>
      </c>
      <c r="F157" s="10" t="s">
        <v>237</v>
      </c>
      <c r="G157" s="10">
        <f t="shared" si="1"/>
        <v>1283</v>
      </c>
      <c r="H157" s="9" t="str">
        <f t="shared" si="2"/>
        <v/>
      </c>
      <c r="I157" s="10">
        <f t="shared" si="3"/>
        <v>3</v>
      </c>
    </row>
    <row r="158" ht="15.75" customHeight="1">
      <c r="A158" s="8">
        <v>43905.0</v>
      </c>
      <c r="B158" s="9">
        <v>6.0</v>
      </c>
      <c r="C158" s="9">
        <v>8789.0</v>
      </c>
      <c r="D158" s="10" t="s">
        <v>34</v>
      </c>
      <c r="E158" s="10" t="s">
        <v>17</v>
      </c>
      <c r="F158" s="10" t="s">
        <v>238</v>
      </c>
      <c r="G158" s="10">
        <f t="shared" si="1"/>
        <v>8789</v>
      </c>
      <c r="H158" s="9" t="str">
        <f t="shared" si="2"/>
        <v/>
      </c>
      <c r="I158" s="10">
        <f t="shared" si="3"/>
        <v>3</v>
      </c>
    </row>
    <row r="159" ht="15.75" customHeight="1">
      <c r="A159" s="8">
        <v>43905.0</v>
      </c>
      <c r="B159" s="9">
        <v>6.0</v>
      </c>
      <c r="C159" s="9">
        <v>2601.0</v>
      </c>
      <c r="D159" s="10" t="s">
        <v>15</v>
      </c>
      <c r="E159" s="10" t="s">
        <v>29</v>
      </c>
      <c r="F159" s="10" t="s">
        <v>239</v>
      </c>
      <c r="G159" s="9" t="str">
        <f t="shared" si="1"/>
        <v/>
      </c>
      <c r="H159" s="10">
        <f t="shared" si="2"/>
        <v>2601</v>
      </c>
      <c r="I159" s="10">
        <f t="shared" si="3"/>
        <v>3</v>
      </c>
    </row>
    <row r="160" ht="15.75" customHeight="1">
      <c r="A160" s="8">
        <v>43905.0</v>
      </c>
      <c r="B160" s="9">
        <v>3.0</v>
      </c>
      <c r="C160" s="9">
        <v>3041.0</v>
      </c>
      <c r="D160" s="10" t="s">
        <v>15</v>
      </c>
      <c r="E160" s="10" t="s">
        <v>17</v>
      </c>
      <c r="F160" s="10" t="s">
        <v>240</v>
      </c>
      <c r="G160" s="10">
        <f t="shared" si="1"/>
        <v>3041</v>
      </c>
      <c r="H160" s="9" t="str">
        <f t="shared" si="2"/>
        <v/>
      </c>
      <c r="I160" s="10">
        <f t="shared" si="3"/>
        <v>3</v>
      </c>
    </row>
    <row r="161" ht="15.75" customHeight="1">
      <c r="A161" s="8">
        <v>43906.0</v>
      </c>
      <c r="B161" s="9">
        <v>8.0</v>
      </c>
      <c r="C161" s="9">
        <v>4174.0</v>
      </c>
      <c r="D161" s="10" t="s">
        <v>15</v>
      </c>
      <c r="E161" s="10" t="s">
        <v>29</v>
      </c>
      <c r="F161" s="10" t="s">
        <v>241</v>
      </c>
      <c r="G161" s="9" t="str">
        <f t="shared" si="1"/>
        <v/>
      </c>
      <c r="H161" s="10">
        <f t="shared" si="2"/>
        <v>4174</v>
      </c>
      <c r="I161" s="10">
        <f t="shared" si="3"/>
        <v>3</v>
      </c>
    </row>
    <row r="162" ht="15.75" customHeight="1">
      <c r="A162" s="8">
        <v>43907.0</v>
      </c>
      <c r="B162" s="9">
        <v>3.0</v>
      </c>
      <c r="C162" s="9">
        <v>4216.0</v>
      </c>
      <c r="D162" s="10" t="s">
        <v>15</v>
      </c>
      <c r="E162" s="10" t="s">
        <v>29</v>
      </c>
      <c r="F162" s="10" t="s">
        <v>242</v>
      </c>
      <c r="G162" s="9" t="str">
        <f t="shared" si="1"/>
        <v/>
      </c>
      <c r="H162" s="10">
        <f t="shared" si="2"/>
        <v>4216</v>
      </c>
      <c r="I162" s="10">
        <f t="shared" si="3"/>
        <v>3</v>
      </c>
    </row>
    <row r="163" ht="15.75" customHeight="1">
      <c r="A163" s="8">
        <v>43907.0</v>
      </c>
      <c r="B163" s="9">
        <v>6.0</v>
      </c>
      <c r="C163" s="9">
        <v>6024.0</v>
      </c>
      <c r="D163" s="10" t="s">
        <v>42</v>
      </c>
      <c r="E163" s="10" t="s">
        <v>17</v>
      </c>
      <c r="F163" s="10" t="s">
        <v>243</v>
      </c>
      <c r="G163" s="10">
        <f t="shared" si="1"/>
        <v>6024</v>
      </c>
      <c r="H163" s="9" t="str">
        <f t="shared" si="2"/>
        <v/>
      </c>
      <c r="I163" s="10">
        <f t="shared" si="3"/>
        <v>3</v>
      </c>
    </row>
    <row r="164" ht="15.75" customHeight="1">
      <c r="A164" s="8">
        <v>43908.0</v>
      </c>
      <c r="B164" s="9">
        <v>4.0</v>
      </c>
      <c r="C164" s="9">
        <v>9608.0</v>
      </c>
      <c r="D164" s="10" t="s">
        <v>95</v>
      </c>
      <c r="E164" s="10" t="s">
        <v>29</v>
      </c>
      <c r="F164" s="10" t="s">
        <v>244</v>
      </c>
      <c r="G164" s="9" t="str">
        <f t="shared" si="1"/>
        <v/>
      </c>
      <c r="H164" s="9" t="str">
        <f t="shared" si="2"/>
        <v/>
      </c>
      <c r="I164" s="10">
        <f t="shared" si="3"/>
        <v>3</v>
      </c>
    </row>
    <row r="165" ht="15.75" customHeight="1">
      <c r="A165" s="8">
        <v>43909.0</v>
      </c>
      <c r="B165" s="9">
        <v>1.0</v>
      </c>
      <c r="C165" s="9">
        <v>8672.0</v>
      </c>
      <c r="D165" s="10" t="s">
        <v>31</v>
      </c>
      <c r="E165" s="10" t="s">
        <v>29</v>
      </c>
      <c r="F165" s="10" t="s">
        <v>245</v>
      </c>
      <c r="G165" s="9" t="str">
        <f t="shared" si="1"/>
        <v/>
      </c>
      <c r="H165" s="9" t="str">
        <f t="shared" si="2"/>
        <v/>
      </c>
      <c r="I165" s="10">
        <f t="shared" si="3"/>
        <v>3</v>
      </c>
    </row>
    <row r="166" ht="15.75" customHeight="1">
      <c r="A166" s="8">
        <v>43910.0</v>
      </c>
      <c r="B166" s="9">
        <v>8.0</v>
      </c>
      <c r="C166" s="9">
        <v>7171.0</v>
      </c>
      <c r="D166" s="10" t="s">
        <v>31</v>
      </c>
      <c r="E166" s="10" t="s">
        <v>29</v>
      </c>
      <c r="F166" s="10" t="s">
        <v>246</v>
      </c>
      <c r="G166" s="9" t="str">
        <f t="shared" si="1"/>
        <v/>
      </c>
      <c r="H166" s="9" t="str">
        <f t="shared" si="2"/>
        <v/>
      </c>
      <c r="I166" s="10">
        <f t="shared" si="3"/>
        <v>3</v>
      </c>
    </row>
    <row r="167" ht="15.75" customHeight="1">
      <c r="A167" s="8">
        <v>43910.0</v>
      </c>
      <c r="B167" s="9">
        <v>10.0</v>
      </c>
      <c r="C167" s="9">
        <v>1419.0</v>
      </c>
      <c r="D167" s="10" t="s">
        <v>15</v>
      </c>
      <c r="E167" s="10" t="s">
        <v>29</v>
      </c>
      <c r="F167" s="10" t="s">
        <v>247</v>
      </c>
      <c r="G167" s="9" t="str">
        <f t="shared" si="1"/>
        <v/>
      </c>
      <c r="H167" s="10">
        <f t="shared" si="2"/>
        <v>1419</v>
      </c>
      <c r="I167" s="10">
        <f t="shared" si="3"/>
        <v>3</v>
      </c>
    </row>
    <row r="168" ht="15.75" customHeight="1">
      <c r="A168" s="8">
        <v>43910.0</v>
      </c>
      <c r="B168" s="9">
        <v>2.0</v>
      </c>
      <c r="C168" s="9">
        <v>715.0</v>
      </c>
      <c r="D168" s="10" t="s">
        <v>31</v>
      </c>
      <c r="E168" s="10" t="s">
        <v>17</v>
      </c>
      <c r="F168" s="10" t="s">
        <v>248</v>
      </c>
      <c r="G168" s="10">
        <f t="shared" si="1"/>
        <v>715</v>
      </c>
      <c r="H168" s="9" t="str">
        <f t="shared" si="2"/>
        <v/>
      </c>
      <c r="I168" s="10">
        <f t="shared" si="3"/>
        <v>3</v>
      </c>
    </row>
    <row r="169" ht="15.75" customHeight="1">
      <c r="A169" s="8">
        <v>43911.0</v>
      </c>
      <c r="B169" s="9">
        <v>7.0</v>
      </c>
      <c r="C169" s="9">
        <v>8405.0</v>
      </c>
      <c r="D169" s="10" t="s">
        <v>31</v>
      </c>
      <c r="E169" s="10" t="s">
        <v>17</v>
      </c>
      <c r="F169" s="10" t="s">
        <v>249</v>
      </c>
      <c r="G169" s="10">
        <f t="shared" si="1"/>
        <v>8405</v>
      </c>
      <c r="H169" s="9" t="str">
        <f t="shared" si="2"/>
        <v/>
      </c>
      <c r="I169" s="10">
        <f t="shared" si="3"/>
        <v>3</v>
      </c>
    </row>
    <row r="170" ht="15.75" customHeight="1">
      <c r="A170" s="8">
        <v>43911.0</v>
      </c>
      <c r="B170" s="9">
        <v>5.0</v>
      </c>
      <c r="C170" s="9">
        <v>2299.0</v>
      </c>
      <c r="D170" s="10" t="s">
        <v>34</v>
      </c>
      <c r="E170" s="10" t="s">
        <v>17</v>
      </c>
      <c r="F170" s="10" t="s">
        <v>250</v>
      </c>
      <c r="G170" s="10">
        <f t="shared" si="1"/>
        <v>2299</v>
      </c>
      <c r="H170" s="9" t="str">
        <f t="shared" si="2"/>
        <v/>
      </c>
      <c r="I170" s="10">
        <f t="shared" si="3"/>
        <v>3</v>
      </c>
    </row>
    <row r="171" ht="15.75" customHeight="1">
      <c r="A171" s="8">
        <v>43912.0</v>
      </c>
      <c r="B171" s="9">
        <v>4.0</v>
      </c>
      <c r="C171" s="9">
        <v>6423.0</v>
      </c>
      <c r="D171" s="10" t="s">
        <v>15</v>
      </c>
      <c r="E171" s="10" t="s">
        <v>29</v>
      </c>
      <c r="F171" s="10" t="s">
        <v>251</v>
      </c>
      <c r="G171" s="9" t="str">
        <f t="shared" si="1"/>
        <v/>
      </c>
      <c r="H171" s="10">
        <f t="shared" si="2"/>
        <v>6423</v>
      </c>
      <c r="I171" s="10">
        <f t="shared" si="3"/>
        <v>3</v>
      </c>
    </row>
    <row r="172" ht="15.75" customHeight="1">
      <c r="A172" s="8">
        <v>43912.0</v>
      </c>
      <c r="B172" s="9">
        <v>1.0</v>
      </c>
      <c r="C172" s="9">
        <v>3893.0</v>
      </c>
      <c r="D172" s="10" t="s">
        <v>15</v>
      </c>
      <c r="E172" s="10" t="s">
        <v>17</v>
      </c>
      <c r="F172" s="10" t="s">
        <v>252</v>
      </c>
      <c r="G172" s="10">
        <f t="shared" si="1"/>
        <v>3893</v>
      </c>
      <c r="H172" s="9" t="str">
        <f t="shared" si="2"/>
        <v/>
      </c>
      <c r="I172" s="10">
        <f t="shared" si="3"/>
        <v>3</v>
      </c>
    </row>
    <row r="173" ht="15.75" customHeight="1">
      <c r="A173" s="8">
        <v>43912.0</v>
      </c>
      <c r="B173" s="9">
        <v>7.0</v>
      </c>
      <c r="C173" s="9">
        <v>7563.0</v>
      </c>
      <c r="D173" s="10" t="s">
        <v>31</v>
      </c>
      <c r="E173" s="10" t="s">
        <v>17</v>
      </c>
      <c r="F173" s="10" t="s">
        <v>253</v>
      </c>
      <c r="G173" s="10">
        <f t="shared" si="1"/>
        <v>7563</v>
      </c>
      <c r="H173" s="9" t="str">
        <f t="shared" si="2"/>
        <v/>
      </c>
      <c r="I173" s="10">
        <f t="shared" si="3"/>
        <v>3</v>
      </c>
    </row>
    <row r="174" ht="15.75" customHeight="1">
      <c r="A174" s="8">
        <v>43912.0</v>
      </c>
      <c r="B174" s="9">
        <v>5.0</v>
      </c>
      <c r="C174" s="9">
        <v>4112.0</v>
      </c>
      <c r="D174" s="10" t="s">
        <v>15</v>
      </c>
      <c r="E174" s="10" t="s">
        <v>29</v>
      </c>
      <c r="F174" s="10" t="s">
        <v>254</v>
      </c>
      <c r="G174" s="9" t="str">
        <f t="shared" si="1"/>
        <v/>
      </c>
      <c r="H174" s="10">
        <f t="shared" si="2"/>
        <v>4112</v>
      </c>
      <c r="I174" s="10">
        <f t="shared" si="3"/>
        <v>3</v>
      </c>
    </row>
    <row r="175" ht="15.75" customHeight="1">
      <c r="A175" s="8">
        <v>43913.0</v>
      </c>
      <c r="B175" s="9">
        <v>7.0</v>
      </c>
      <c r="C175" s="9">
        <v>311.0</v>
      </c>
      <c r="D175" s="10" t="s">
        <v>34</v>
      </c>
      <c r="E175" s="10" t="s">
        <v>29</v>
      </c>
      <c r="F175" s="10" t="s">
        <v>255</v>
      </c>
      <c r="G175" s="9" t="str">
        <f t="shared" si="1"/>
        <v/>
      </c>
      <c r="H175" s="9" t="str">
        <f t="shared" si="2"/>
        <v/>
      </c>
      <c r="I175" s="10">
        <f t="shared" si="3"/>
        <v>3</v>
      </c>
    </row>
    <row r="176" ht="15.75" customHeight="1">
      <c r="A176" s="8">
        <v>43914.0</v>
      </c>
      <c r="B176" s="9">
        <v>7.0</v>
      </c>
      <c r="C176" s="9">
        <v>761.0</v>
      </c>
      <c r="D176" s="10" t="s">
        <v>15</v>
      </c>
      <c r="E176" s="10" t="s">
        <v>17</v>
      </c>
      <c r="F176" s="10" t="s">
        <v>256</v>
      </c>
      <c r="G176" s="10">
        <f t="shared" si="1"/>
        <v>761</v>
      </c>
      <c r="H176" s="9" t="str">
        <f t="shared" si="2"/>
        <v/>
      </c>
      <c r="I176" s="10">
        <f t="shared" si="3"/>
        <v>3</v>
      </c>
    </row>
    <row r="177" ht="15.75" customHeight="1">
      <c r="A177" s="8">
        <v>43914.0</v>
      </c>
      <c r="B177" s="9">
        <v>7.0</v>
      </c>
      <c r="C177" s="9">
        <v>7331.0</v>
      </c>
      <c r="D177" s="10" t="s">
        <v>15</v>
      </c>
      <c r="E177" s="10" t="s">
        <v>17</v>
      </c>
      <c r="F177" s="10" t="s">
        <v>257</v>
      </c>
      <c r="G177" s="10">
        <f t="shared" si="1"/>
        <v>7331</v>
      </c>
      <c r="H177" s="9" t="str">
        <f t="shared" si="2"/>
        <v/>
      </c>
      <c r="I177" s="10">
        <f t="shared" si="3"/>
        <v>3</v>
      </c>
    </row>
    <row r="178" ht="15.75" customHeight="1">
      <c r="A178" s="8">
        <v>43915.0</v>
      </c>
      <c r="B178" s="9">
        <v>7.0</v>
      </c>
      <c r="C178" s="9">
        <v>9151.0</v>
      </c>
      <c r="D178" s="10" t="s">
        <v>15</v>
      </c>
      <c r="E178" s="10" t="s">
        <v>29</v>
      </c>
      <c r="F178" s="10" t="s">
        <v>258</v>
      </c>
      <c r="G178" s="9" t="str">
        <f t="shared" si="1"/>
        <v/>
      </c>
      <c r="H178" s="10">
        <f t="shared" si="2"/>
        <v>9151</v>
      </c>
      <c r="I178" s="10">
        <f t="shared" si="3"/>
        <v>3</v>
      </c>
    </row>
    <row r="179" ht="15.75" customHeight="1">
      <c r="A179" s="8">
        <v>43915.0</v>
      </c>
      <c r="B179" s="9">
        <v>10.0</v>
      </c>
      <c r="C179" s="9">
        <v>8869.0</v>
      </c>
      <c r="D179" s="10" t="s">
        <v>31</v>
      </c>
      <c r="E179" s="10" t="s">
        <v>29</v>
      </c>
      <c r="F179" s="10" t="s">
        <v>259</v>
      </c>
      <c r="G179" s="9" t="str">
        <f t="shared" si="1"/>
        <v/>
      </c>
      <c r="H179" s="9" t="str">
        <f t="shared" si="2"/>
        <v/>
      </c>
      <c r="I179" s="10">
        <f t="shared" si="3"/>
        <v>3</v>
      </c>
    </row>
    <row r="180" ht="15.75" customHeight="1">
      <c r="A180" s="8">
        <v>43915.0</v>
      </c>
      <c r="B180" s="9">
        <v>2.0</v>
      </c>
      <c r="C180" s="9">
        <v>6161.0</v>
      </c>
      <c r="D180" s="10" t="s">
        <v>31</v>
      </c>
      <c r="E180" s="10" t="s">
        <v>17</v>
      </c>
      <c r="F180" s="10" t="s">
        <v>260</v>
      </c>
      <c r="G180" s="10">
        <f t="shared" si="1"/>
        <v>6161</v>
      </c>
      <c r="H180" s="9" t="str">
        <f t="shared" si="2"/>
        <v/>
      </c>
      <c r="I180" s="10">
        <f t="shared" si="3"/>
        <v>3</v>
      </c>
    </row>
    <row r="181" ht="15.75" customHeight="1">
      <c r="A181" s="8">
        <v>43915.0</v>
      </c>
      <c r="B181" s="9">
        <v>10.0</v>
      </c>
      <c r="C181" s="9">
        <v>5574.0</v>
      </c>
      <c r="D181" s="10" t="s">
        <v>15</v>
      </c>
      <c r="E181" s="10" t="s">
        <v>29</v>
      </c>
      <c r="F181" s="10" t="s">
        <v>262</v>
      </c>
      <c r="G181" s="9" t="str">
        <f t="shared" si="1"/>
        <v/>
      </c>
      <c r="H181" s="10">
        <f t="shared" si="2"/>
        <v>5574</v>
      </c>
      <c r="I181" s="10">
        <f t="shared" si="3"/>
        <v>3</v>
      </c>
    </row>
    <row r="182" ht="15.75" customHeight="1">
      <c r="A182" s="8">
        <v>43916.0</v>
      </c>
      <c r="B182" s="9">
        <v>2.0</v>
      </c>
      <c r="C182" s="9">
        <v>1825.0</v>
      </c>
      <c r="D182" s="10" t="s">
        <v>15</v>
      </c>
      <c r="E182" s="10" t="s">
        <v>17</v>
      </c>
      <c r="F182" s="10" t="s">
        <v>263</v>
      </c>
      <c r="G182" s="10">
        <f t="shared" si="1"/>
        <v>1825</v>
      </c>
      <c r="H182" s="9" t="str">
        <f t="shared" si="2"/>
        <v/>
      </c>
      <c r="I182" s="10">
        <f t="shared" si="3"/>
        <v>3</v>
      </c>
    </row>
    <row r="183" ht="15.75" customHeight="1">
      <c r="A183" s="8">
        <v>43916.0</v>
      </c>
      <c r="B183" s="9">
        <v>6.0</v>
      </c>
      <c r="C183" s="9">
        <v>4230.0</v>
      </c>
      <c r="D183" s="10" t="s">
        <v>34</v>
      </c>
      <c r="E183" s="10" t="s">
        <v>17</v>
      </c>
      <c r="F183" s="10" t="s">
        <v>264</v>
      </c>
      <c r="G183" s="10">
        <f t="shared" si="1"/>
        <v>4230</v>
      </c>
      <c r="H183" s="9" t="str">
        <f t="shared" si="2"/>
        <v/>
      </c>
      <c r="I183" s="10">
        <f t="shared" si="3"/>
        <v>3</v>
      </c>
    </row>
    <row r="184" ht="15.75" customHeight="1">
      <c r="A184" s="8">
        <v>43917.0</v>
      </c>
      <c r="B184" s="9">
        <v>7.0</v>
      </c>
      <c r="C184" s="9">
        <v>3801.0</v>
      </c>
      <c r="D184" s="10" t="s">
        <v>95</v>
      </c>
      <c r="E184" s="10" t="s">
        <v>17</v>
      </c>
      <c r="F184" s="10" t="s">
        <v>265</v>
      </c>
      <c r="G184" s="10">
        <f t="shared" si="1"/>
        <v>3801</v>
      </c>
      <c r="H184" s="9" t="str">
        <f t="shared" si="2"/>
        <v/>
      </c>
      <c r="I184" s="10">
        <f t="shared" si="3"/>
        <v>3</v>
      </c>
    </row>
    <row r="185" ht="15.75" customHeight="1">
      <c r="A185" s="8">
        <v>43917.0</v>
      </c>
      <c r="B185" s="9">
        <v>2.0</v>
      </c>
      <c r="C185" s="9">
        <v>7757.0</v>
      </c>
      <c r="D185" s="10" t="s">
        <v>15</v>
      </c>
      <c r="E185" s="10" t="s">
        <v>29</v>
      </c>
      <c r="F185" s="10" t="s">
        <v>266</v>
      </c>
      <c r="G185" s="9" t="str">
        <f t="shared" si="1"/>
        <v/>
      </c>
      <c r="H185" s="10">
        <f t="shared" si="2"/>
        <v>7757</v>
      </c>
      <c r="I185" s="10">
        <f t="shared" si="3"/>
        <v>3</v>
      </c>
    </row>
    <row r="186" ht="15.75" customHeight="1">
      <c r="A186" s="8">
        <v>43918.0</v>
      </c>
      <c r="B186" s="9">
        <v>1.0</v>
      </c>
      <c r="C186" s="9">
        <v>7710.0</v>
      </c>
      <c r="D186" s="10" t="s">
        <v>34</v>
      </c>
      <c r="E186" s="10" t="s">
        <v>17</v>
      </c>
      <c r="F186" s="10" t="s">
        <v>267</v>
      </c>
      <c r="G186" s="10">
        <f t="shared" si="1"/>
        <v>7710</v>
      </c>
      <c r="H186" s="9" t="str">
        <f t="shared" si="2"/>
        <v/>
      </c>
      <c r="I186" s="10">
        <f t="shared" si="3"/>
        <v>3</v>
      </c>
    </row>
    <row r="187" ht="15.75" customHeight="1">
      <c r="A187" s="8">
        <v>43918.0</v>
      </c>
      <c r="B187" s="9">
        <v>9.0</v>
      </c>
      <c r="C187" s="9">
        <v>824.0</v>
      </c>
      <c r="D187" s="10" t="s">
        <v>31</v>
      </c>
      <c r="E187" s="10" t="s">
        <v>17</v>
      </c>
      <c r="F187" s="10" t="s">
        <v>268</v>
      </c>
      <c r="G187" s="10">
        <f t="shared" si="1"/>
        <v>824</v>
      </c>
      <c r="H187" s="9" t="str">
        <f t="shared" si="2"/>
        <v/>
      </c>
      <c r="I187" s="10">
        <f t="shared" si="3"/>
        <v>3</v>
      </c>
    </row>
    <row r="188" ht="15.75" customHeight="1">
      <c r="A188" s="8">
        <v>43919.0</v>
      </c>
      <c r="B188" s="9">
        <v>1.0</v>
      </c>
      <c r="C188" s="9">
        <v>7761.0</v>
      </c>
      <c r="D188" s="10" t="s">
        <v>15</v>
      </c>
      <c r="E188" s="10" t="s">
        <v>29</v>
      </c>
      <c r="F188" s="10" t="s">
        <v>269</v>
      </c>
      <c r="G188" s="9" t="str">
        <f t="shared" si="1"/>
        <v/>
      </c>
      <c r="H188" s="10">
        <f t="shared" si="2"/>
        <v>7761</v>
      </c>
      <c r="I188" s="10">
        <f t="shared" si="3"/>
        <v>3</v>
      </c>
    </row>
    <row r="189" ht="15.75" customHeight="1">
      <c r="A189" s="8">
        <v>43919.0</v>
      </c>
      <c r="B189" s="9">
        <v>8.0</v>
      </c>
      <c r="C189" s="9">
        <v>1558.0</v>
      </c>
      <c r="D189" s="10" t="s">
        <v>31</v>
      </c>
      <c r="E189" s="10" t="s">
        <v>17</v>
      </c>
      <c r="F189" s="10" t="s">
        <v>270</v>
      </c>
      <c r="G189" s="10">
        <f t="shared" si="1"/>
        <v>1558</v>
      </c>
      <c r="H189" s="9" t="str">
        <f t="shared" si="2"/>
        <v/>
      </c>
      <c r="I189" s="10">
        <f t="shared" si="3"/>
        <v>3</v>
      </c>
    </row>
    <row r="190" ht="15.75" customHeight="1">
      <c r="A190" s="8">
        <v>43919.0</v>
      </c>
      <c r="B190" s="9">
        <v>6.0</v>
      </c>
      <c r="C190" s="9">
        <v>3082.0</v>
      </c>
      <c r="D190" s="10" t="s">
        <v>15</v>
      </c>
      <c r="E190" s="10" t="s">
        <v>29</v>
      </c>
      <c r="F190" s="10" t="s">
        <v>271</v>
      </c>
      <c r="G190" s="9" t="str">
        <f t="shared" si="1"/>
        <v/>
      </c>
      <c r="H190" s="10">
        <f t="shared" si="2"/>
        <v>3082</v>
      </c>
      <c r="I190" s="10">
        <f t="shared" si="3"/>
        <v>3</v>
      </c>
    </row>
    <row r="191" ht="15.75" customHeight="1">
      <c r="A191" s="8">
        <v>43919.0</v>
      </c>
      <c r="B191" s="9">
        <v>9.0</v>
      </c>
      <c r="C191" s="9">
        <v>1951.0</v>
      </c>
      <c r="D191" s="10" t="s">
        <v>34</v>
      </c>
      <c r="E191" s="10" t="s">
        <v>17</v>
      </c>
      <c r="F191" s="10" t="s">
        <v>272</v>
      </c>
      <c r="G191" s="10">
        <f t="shared" si="1"/>
        <v>1951</v>
      </c>
      <c r="H191" s="9" t="str">
        <f t="shared" si="2"/>
        <v/>
      </c>
      <c r="I191" s="10">
        <f t="shared" si="3"/>
        <v>3</v>
      </c>
    </row>
    <row r="192" ht="15.75" customHeight="1">
      <c r="A192" s="8">
        <v>43919.0</v>
      </c>
      <c r="B192" s="9">
        <v>4.0</v>
      </c>
      <c r="C192" s="9">
        <v>3113.0</v>
      </c>
      <c r="D192" s="10" t="s">
        <v>31</v>
      </c>
      <c r="E192" s="10" t="s">
        <v>17</v>
      </c>
      <c r="F192" s="10" t="s">
        <v>273</v>
      </c>
      <c r="G192" s="10">
        <f t="shared" si="1"/>
        <v>3113</v>
      </c>
      <c r="H192" s="9" t="str">
        <f t="shared" si="2"/>
        <v/>
      </c>
      <c r="I192" s="10">
        <f t="shared" si="3"/>
        <v>3</v>
      </c>
    </row>
    <row r="193" ht="15.75" customHeight="1">
      <c r="A193" s="8">
        <v>43919.0</v>
      </c>
      <c r="B193" s="9">
        <v>2.0</v>
      </c>
      <c r="C193" s="9">
        <v>4439.0</v>
      </c>
      <c r="D193" s="10" t="s">
        <v>31</v>
      </c>
      <c r="E193" s="10" t="s">
        <v>29</v>
      </c>
      <c r="F193" s="10" t="s">
        <v>275</v>
      </c>
      <c r="G193" s="9" t="str">
        <f t="shared" si="1"/>
        <v/>
      </c>
      <c r="H193" s="9" t="str">
        <f t="shared" si="2"/>
        <v/>
      </c>
      <c r="I193" s="10">
        <f t="shared" si="3"/>
        <v>3</v>
      </c>
    </row>
    <row r="194" ht="15.75" customHeight="1">
      <c r="A194" s="8">
        <v>43920.0</v>
      </c>
      <c r="B194" s="9">
        <v>2.0</v>
      </c>
      <c r="C194" s="9">
        <v>3995.0</v>
      </c>
      <c r="D194" s="10" t="s">
        <v>31</v>
      </c>
      <c r="E194" s="10" t="s">
        <v>17</v>
      </c>
      <c r="F194" s="10" t="s">
        <v>276</v>
      </c>
      <c r="G194" s="10">
        <f t="shared" si="1"/>
        <v>3995</v>
      </c>
      <c r="H194" s="9" t="str">
        <f t="shared" si="2"/>
        <v/>
      </c>
      <c r="I194" s="10">
        <f t="shared" si="3"/>
        <v>3</v>
      </c>
    </row>
    <row r="195" ht="15.75" customHeight="1">
      <c r="A195" s="8">
        <v>43920.0</v>
      </c>
      <c r="B195" s="9">
        <v>4.0</v>
      </c>
      <c r="C195" s="9">
        <v>602.0</v>
      </c>
      <c r="D195" s="10" t="s">
        <v>34</v>
      </c>
      <c r="E195" s="10" t="s">
        <v>17</v>
      </c>
      <c r="F195" s="10" t="s">
        <v>277</v>
      </c>
      <c r="G195" s="10">
        <f t="shared" si="1"/>
        <v>602</v>
      </c>
      <c r="H195" s="9" t="str">
        <f t="shared" si="2"/>
        <v/>
      </c>
      <c r="I195" s="10">
        <f t="shared" si="3"/>
        <v>3</v>
      </c>
    </row>
    <row r="196" ht="15.75" customHeight="1">
      <c r="A196" s="8">
        <v>43921.0</v>
      </c>
      <c r="B196" s="9">
        <v>4.0</v>
      </c>
      <c r="C196" s="9">
        <v>6700.0</v>
      </c>
      <c r="D196" s="10" t="s">
        <v>15</v>
      </c>
      <c r="E196" s="10" t="s">
        <v>17</v>
      </c>
      <c r="F196" s="10" t="s">
        <v>278</v>
      </c>
      <c r="G196" s="10">
        <f t="shared" si="1"/>
        <v>6700</v>
      </c>
      <c r="H196" s="9" t="str">
        <f t="shared" si="2"/>
        <v/>
      </c>
      <c r="I196" s="10">
        <f t="shared" si="3"/>
        <v>3</v>
      </c>
    </row>
    <row r="197" ht="15.75" customHeight="1">
      <c r="A197" s="8">
        <v>43922.0</v>
      </c>
      <c r="B197" s="9">
        <v>1.0</v>
      </c>
      <c r="C197" s="9">
        <v>5109.0</v>
      </c>
      <c r="D197" s="10" t="s">
        <v>95</v>
      </c>
      <c r="E197" s="10" t="s">
        <v>17</v>
      </c>
      <c r="F197" s="10" t="s">
        <v>279</v>
      </c>
      <c r="G197" s="10">
        <f t="shared" si="1"/>
        <v>5109</v>
      </c>
      <c r="H197" s="9" t="str">
        <f t="shared" si="2"/>
        <v/>
      </c>
      <c r="I197" s="10">
        <f t="shared" si="3"/>
        <v>4</v>
      </c>
    </row>
    <row r="198" ht="15.75" customHeight="1">
      <c r="A198" s="8">
        <v>43922.0</v>
      </c>
      <c r="B198" s="9">
        <v>7.0</v>
      </c>
      <c r="C198" s="9">
        <v>2889.0</v>
      </c>
      <c r="D198" s="10" t="s">
        <v>42</v>
      </c>
      <c r="E198" s="10" t="s">
        <v>17</v>
      </c>
      <c r="F198" s="10" t="s">
        <v>280</v>
      </c>
      <c r="G198" s="10">
        <f t="shared" si="1"/>
        <v>2889</v>
      </c>
      <c r="H198" s="9" t="str">
        <f t="shared" si="2"/>
        <v/>
      </c>
      <c r="I198" s="10">
        <f t="shared" si="3"/>
        <v>4</v>
      </c>
    </row>
    <row r="199" ht="15.75" customHeight="1">
      <c r="A199" s="8">
        <v>43922.0</v>
      </c>
      <c r="B199" s="9">
        <v>5.0</v>
      </c>
      <c r="C199" s="9">
        <v>8929.0</v>
      </c>
      <c r="D199" s="10" t="s">
        <v>42</v>
      </c>
      <c r="E199" s="10" t="s">
        <v>17</v>
      </c>
      <c r="F199" s="10" t="s">
        <v>281</v>
      </c>
      <c r="G199" s="10">
        <f t="shared" si="1"/>
        <v>8929</v>
      </c>
      <c r="H199" s="9" t="str">
        <f t="shared" si="2"/>
        <v/>
      </c>
      <c r="I199" s="10">
        <f t="shared" si="3"/>
        <v>4</v>
      </c>
    </row>
    <row r="200" ht="15.75" customHeight="1">
      <c r="A200" s="8">
        <v>43923.0</v>
      </c>
      <c r="B200" s="9">
        <v>3.0</v>
      </c>
      <c r="C200" s="9">
        <v>7723.0</v>
      </c>
      <c r="D200" s="10" t="s">
        <v>31</v>
      </c>
      <c r="E200" s="10" t="s">
        <v>29</v>
      </c>
      <c r="F200" s="10" t="s">
        <v>282</v>
      </c>
      <c r="G200" s="9" t="str">
        <f t="shared" si="1"/>
        <v/>
      </c>
      <c r="H200" s="9" t="str">
        <f t="shared" si="2"/>
        <v/>
      </c>
      <c r="I200" s="10">
        <f t="shared" si="3"/>
        <v>4</v>
      </c>
    </row>
    <row r="201" ht="15.75" customHeight="1">
      <c r="A201" s="8">
        <v>43924.0</v>
      </c>
      <c r="B201" s="9">
        <v>7.0</v>
      </c>
      <c r="C201" s="9">
        <v>5010.0</v>
      </c>
      <c r="D201" s="10" t="s">
        <v>15</v>
      </c>
      <c r="E201" s="10" t="s">
        <v>29</v>
      </c>
      <c r="F201" s="10" t="s">
        <v>283</v>
      </c>
      <c r="G201" s="9" t="str">
        <f t="shared" si="1"/>
        <v/>
      </c>
      <c r="H201" s="10">
        <f t="shared" si="2"/>
        <v>5010</v>
      </c>
      <c r="I201" s="10">
        <f t="shared" si="3"/>
        <v>4</v>
      </c>
    </row>
    <row r="202" ht="15.75" customHeight="1">
      <c r="A202" s="8">
        <v>43925.0</v>
      </c>
      <c r="B202" s="9">
        <v>7.0</v>
      </c>
      <c r="C202" s="9">
        <v>9441.0</v>
      </c>
      <c r="D202" s="10" t="s">
        <v>31</v>
      </c>
      <c r="E202" s="10" t="s">
        <v>17</v>
      </c>
      <c r="F202" s="10" t="s">
        <v>284</v>
      </c>
      <c r="G202" s="10">
        <f t="shared" si="1"/>
        <v>9441</v>
      </c>
      <c r="H202" s="9" t="str">
        <f t="shared" si="2"/>
        <v/>
      </c>
      <c r="I202" s="10">
        <f t="shared" si="3"/>
        <v>4</v>
      </c>
    </row>
    <row r="203" ht="15.75" customHeight="1">
      <c r="A203" s="8">
        <v>43925.0</v>
      </c>
      <c r="B203" s="9">
        <v>8.0</v>
      </c>
      <c r="C203" s="9">
        <v>5114.0</v>
      </c>
      <c r="D203" s="10" t="s">
        <v>95</v>
      </c>
      <c r="E203" s="10" t="s">
        <v>17</v>
      </c>
      <c r="F203" s="10" t="s">
        <v>285</v>
      </c>
      <c r="G203" s="10">
        <f t="shared" si="1"/>
        <v>5114</v>
      </c>
      <c r="H203" s="9" t="str">
        <f t="shared" si="2"/>
        <v/>
      </c>
      <c r="I203" s="10">
        <f t="shared" si="3"/>
        <v>4</v>
      </c>
    </row>
    <row r="204" ht="15.75" customHeight="1">
      <c r="A204" s="8">
        <v>43925.0</v>
      </c>
      <c r="B204" s="9">
        <v>5.0</v>
      </c>
      <c r="C204" s="9">
        <v>1652.0</v>
      </c>
      <c r="D204" s="10" t="s">
        <v>15</v>
      </c>
      <c r="E204" s="10" t="s">
        <v>17</v>
      </c>
      <c r="F204" s="10" t="s">
        <v>286</v>
      </c>
      <c r="G204" s="10">
        <f t="shared" si="1"/>
        <v>1652</v>
      </c>
      <c r="H204" s="9" t="str">
        <f t="shared" si="2"/>
        <v/>
      </c>
      <c r="I204" s="10">
        <f t="shared" si="3"/>
        <v>4</v>
      </c>
    </row>
    <row r="205" ht="15.75" customHeight="1">
      <c r="A205" s="8">
        <v>43925.0</v>
      </c>
      <c r="B205" s="9">
        <v>10.0</v>
      </c>
      <c r="C205" s="9">
        <v>7437.0</v>
      </c>
      <c r="D205" s="10" t="s">
        <v>15</v>
      </c>
      <c r="E205" s="10" t="s">
        <v>17</v>
      </c>
      <c r="F205" s="10" t="s">
        <v>287</v>
      </c>
      <c r="G205" s="10">
        <f t="shared" si="1"/>
        <v>7437</v>
      </c>
      <c r="H205" s="9" t="str">
        <f t="shared" si="2"/>
        <v/>
      </c>
      <c r="I205" s="10">
        <f t="shared" si="3"/>
        <v>4</v>
      </c>
    </row>
    <row r="206" ht="15.75" customHeight="1">
      <c r="A206" s="8">
        <v>43926.0</v>
      </c>
      <c r="B206" s="9">
        <v>9.0</v>
      </c>
      <c r="C206" s="9">
        <v>539.0</v>
      </c>
      <c r="D206" s="10" t="s">
        <v>34</v>
      </c>
      <c r="E206" s="10" t="s">
        <v>17</v>
      </c>
      <c r="F206" s="10" t="s">
        <v>288</v>
      </c>
      <c r="G206" s="10">
        <f t="shared" si="1"/>
        <v>539</v>
      </c>
      <c r="H206" s="9" t="str">
        <f t="shared" si="2"/>
        <v/>
      </c>
      <c r="I206" s="10">
        <f t="shared" si="3"/>
        <v>4</v>
      </c>
    </row>
    <row r="207" ht="15.75" customHeight="1">
      <c r="A207" s="8">
        <v>43927.0</v>
      </c>
      <c r="B207" s="9">
        <v>3.0</v>
      </c>
      <c r="C207" s="9">
        <v>4431.0</v>
      </c>
      <c r="D207" s="10" t="s">
        <v>31</v>
      </c>
      <c r="E207" s="10" t="s">
        <v>17</v>
      </c>
      <c r="F207" s="10" t="s">
        <v>289</v>
      </c>
      <c r="G207" s="10">
        <f t="shared" si="1"/>
        <v>4431</v>
      </c>
      <c r="H207" s="9" t="str">
        <f t="shared" si="2"/>
        <v/>
      </c>
      <c r="I207" s="10">
        <f t="shared" si="3"/>
        <v>4</v>
      </c>
    </row>
    <row r="208" ht="15.75" customHeight="1">
      <c r="A208" s="8">
        <v>43927.0</v>
      </c>
      <c r="B208" s="9">
        <v>1.0</v>
      </c>
      <c r="C208" s="9">
        <v>7139.0</v>
      </c>
      <c r="D208" s="10" t="s">
        <v>15</v>
      </c>
      <c r="E208" s="10" t="s">
        <v>29</v>
      </c>
      <c r="F208" s="10" t="s">
        <v>290</v>
      </c>
      <c r="G208" s="9" t="str">
        <f t="shared" si="1"/>
        <v/>
      </c>
      <c r="H208" s="10">
        <f t="shared" si="2"/>
        <v>7139</v>
      </c>
      <c r="I208" s="10">
        <f t="shared" si="3"/>
        <v>4</v>
      </c>
    </row>
    <row r="209" ht="15.75" customHeight="1">
      <c r="A209" s="8">
        <v>43927.0</v>
      </c>
      <c r="B209" s="9">
        <v>3.0</v>
      </c>
      <c r="C209" s="9">
        <v>6606.0</v>
      </c>
      <c r="D209" s="10" t="s">
        <v>15</v>
      </c>
      <c r="E209" s="10" t="s">
        <v>29</v>
      </c>
      <c r="F209" s="10" t="s">
        <v>291</v>
      </c>
      <c r="G209" s="9" t="str">
        <f t="shared" si="1"/>
        <v/>
      </c>
      <c r="H209" s="10">
        <f t="shared" si="2"/>
        <v>6606</v>
      </c>
      <c r="I209" s="10">
        <f t="shared" si="3"/>
        <v>4</v>
      </c>
    </row>
    <row r="210" ht="15.75" customHeight="1">
      <c r="A210" s="8">
        <v>43927.0</v>
      </c>
      <c r="B210" s="9">
        <v>9.0</v>
      </c>
      <c r="C210" s="9">
        <v>578.0</v>
      </c>
      <c r="D210" s="10" t="s">
        <v>15</v>
      </c>
      <c r="E210" s="10" t="s">
        <v>17</v>
      </c>
      <c r="F210" s="10" t="s">
        <v>292</v>
      </c>
      <c r="G210" s="10">
        <f t="shared" si="1"/>
        <v>578</v>
      </c>
      <c r="H210" s="9" t="str">
        <f t="shared" si="2"/>
        <v/>
      </c>
      <c r="I210" s="10">
        <f t="shared" si="3"/>
        <v>4</v>
      </c>
    </row>
    <row r="211" ht="15.75" customHeight="1">
      <c r="A211" s="8">
        <v>43929.0</v>
      </c>
      <c r="B211" s="9">
        <v>3.0</v>
      </c>
      <c r="C211" s="9">
        <v>8597.0</v>
      </c>
      <c r="D211" s="10" t="s">
        <v>42</v>
      </c>
      <c r="E211" s="10" t="s">
        <v>17</v>
      </c>
      <c r="F211" s="10" t="s">
        <v>293</v>
      </c>
      <c r="G211" s="10">
        <f t="shared" si="1"/>
        <v>8597</v>
      </c>
      <c r="H211" s="9" t="str">
        <f t="shared" si="2"/>
        <v/>
      </c>
      <c r="I211" s="10">
        <f t="shared" si="3"/>
        <v>4</v>
      </c>
    </row>
    <row r="212" ht="15.75" customHeight="1">
      <c r="A212" s="8">
        <v>43929.0</v>
      </c>
      <c r="B212" s="9">
        <v>9.0</v>
      </c>
      <c r="C212" s="9">
        <v>9987.0</v>
      </c>
      <c r="D212" s="10" t="s">
        <v>15</v>
      </c>
      <c r="E212" s="10" t="s">
        <v>29</v>
      </c>
      <c r="F212" s="10" t="s">
        <v>294</v>
      </c>
      <c r="G212" s="9" t="str">
        <f t="shared" si="1"/>
        <v/>
      </c>
      <c r="H212" s="10">
        <f t="shared" si="2"/>
        <v>9987</v>
      </c>
      <c r="I212" s="10">
        <f t="shared" si="3"/>
        <v>4</v>
      </c>
    </row>
    <row r="213" ht="15.75" customHeight="1">
      <c r="A213" s="8">
        <v>43930.0</v>
      </c>
      <c r="B213" s="9">
        <v>3.0</v>
      </c>
      <c r="C213" s="9">
        <v>5893.0</v>
      </c>
      <c r="D213" s="10" t="s">
        <v>31</v>
      </c>
      <c r="E213" s="10" t="s">
        <v>17</v>
      </c>
      <c r="F213" s="10" t="s">
        <v>295</v>
      </c>
      <c r="G213" s="10">
        <f t="shared" si="1"/>
        <v>5893</v>
      </c>
      <c r="H213" s="9" t="str">
        <f t="shared" si="2"/>
        <v/>
      </c>
      <c r="I213" s="10">
        <f t="shared" si="3"/>
        <v>4</v>
      </c>
    </row>
    <row r="214" ht="15.75" customHeight="1">
      <c r="A214" s="8">
        <v>43930.0</v>
      </c>
      <c r="B214" s="9">
        <v>9.0</v>
      </c>
      <c r="C214" s="9">
        <v>5672.0</v>
      </c>
      <c r="D214" s="10" t="s">
        <v>15</v>
      </c>
      <c r="E214" s="10" t="s">
        <v>17</v>
      </c>
      <c r="F214" s="10" t="s">
        <v>296</v>
      </c>
      <c r="G214" s="10">
        <f t="shared" si="1"/>
        <v>5672</v>
      </c>
      <c r="H214" s="9" t="str">
        <f t="shared" si="2"/>
        <v/>
      </c>
      <c r="I214" s="10">
        <f t="shared" si="3"/>
        <v>4</v>
      </c>
    </row>
    <row r="215" ht="15.75" customHeight="1">
      <c r="A215" s="8">
        <v>43931.0</v>
      </c>
      <c r="B215" s="9">
        <v>8.0</v>
      </c>
      <c r="C215" s="9">
        <v>5812.0</v>
      </c>
      <c r="D215" s="10" t="s">
        <v>15</v>
      </c>
      <c r="E215" s="10" t="s">
        <v>17</v>
      </c>
      <c r="F215" s="10" t="s">
        <v>297</v>
      </c>
      <c r="G215" s="10">
        <f t="shared" si="1"/>
        <v>5812</v>
      </c>
      <c r="H215" s="9" t="str">
        <f t="shared" si="2"/>
        <v/>
      </c>
      <c r="I215" s="10">
        <f t="shared" si="3"/>
        <v>4</v>
      </c>
    </row>
    <row r="216" ht="15.75" customHeight="1">
      <c r="A216" s="8">
        <v>43931.0</v>
      </c>
      <c r="B216" s="9">
        <v>4.0</v>
      </c>
      <c r="C216" s="9">
        <v>3735.0</v>
      </c>
      <c r="D216" s="10" t="s">
        <v>15</v>
      </c>
      <c r="E216" s="10" t="s">
        <v>17</v>
      </c>
      <c r="F216" s="10" t="s">
        <v>298</v>
      </c>
      <c r="G216" s="10">
        <f t="shared" si="1"/>
        <v>3735</v>
      </c>
      <c r="H216" s="9" t="str">
        <f t="shared" si="2"/>
        <v/>
      </c>
      <c r="I216" s="10">
        <f t="shared" si="3"/>
        <v>4</v>
      </c>
    </row>
    <row r="217" ht="15.75" customHeight="1">
      <c r="A217" s="8">
        <v>43931.0</v>
      </c>
      <c r="B217" s="9">
        <v>7.0</v>
      </c>
      <c r="C217" s="9">
        <v>5503.0</v>
      </c>
      <c r="D217" s="10" t="s">
        <v>15</v>
      </c>
      <c r="E217" s="10" t="s">
        <v>17</v>
      </c>
      <c r="F217" s="10" t="s">
        <v>299</v>
      </c>
      <c r="G217" s="10">
        <f t="shared" si="1"/>
        <v>5503</v>
      </c>
      <c r="H217" s="9" t="str">
        <f t="shared" si="2"/>
        <v/>
      </c>
      <c r="I217" s="10">
        <f t="shared" si="3"/>
        <v>4</v>
      </c>
    </row>
    <row r="218" ht="15.75" customHeight="1">
      <c r="A218" s="8">
        <v>43932.0</v>
      </c>
      <c r="B218" s="9">
        <v>10.0</v>
      </c>
      <c r="C218" s="9">
        <v>2698.0</v>
      </c>
      <c r="D218" s="10" t="s">
        <v>42</v>
      </c>
      <c r="E218" s="10" t="s">
        <v>17</v>
      </c>
      <c r="F218" s="10" t="s">
        <v>300</v>
      </c>
      <c r="G218" s="10">
        <f t="shared" si="1"/>
        <v>2698</v>
      </c>
      <c r="H218" s="9" t="str">
        <f t="shared" si="2"/>
        <v/>
      </c>
      <c r="I218" s="10">
        <f t="shared" si="3"/>
        <v>4</v>
      </c>
    </row>
    <row r="219" ht="15.75" customHeight="1">
      <c r="A219" s="8">
        <v>43933.0</v>
      </c>
      <c r="B219" s="9">
        <v>1.0</v>
      </c>
      <c r="C219" s="9">
        <v>5246.0</v>
      </c>
      <c r="D219" s="10" t="s">
        <v>15</v>
      </c>
      <c r="E219" s="10" t="s">
        <v>29</v>
      </c>
      <c r="F219" s="10" t="s">
        <v>301</v>
      </c>
      <c r="G219" s="9" t="str">
        <f t="shared" si="1"/>
        <v/>
      </c>
      <c r="H219" s="10">
        <f t="shared" si="2"/>
        <v>5246</v>
      </c>
      <c r="I219" s="10">
        <f t="shared" si="3"/>
        <v>4</v>
      </c>
    </row>
    <row r="220" ht="15.75" customHeight="1">
      <c r="A220" s="8">
        <v>43933.0</v>
      </c>
      <c r="B220" s="9">
        <v>3.0</v>
      </c>
      <c r="C220" s="9">
        <v>4767.0</v>
      </c>
      <c r="D220" s="10" t="s">
        <v>15</v>
      </c>
      <c r="E220" s="10" t="s">
        <v>17</v>
      </c>
      <c r="F220" s="10" t="s">
        <v>302</v>
      </c>
      <c r="G220" s="10">
        <f t="shared" si="1"/>
        <v>4767</v>
      </c>
      <c r="H220" s="9" t="str">
        <f t="shared" si="2"/>
        <v/>
      </c>
      <c r="I220" s="10">
        <f t="shared" si="3"/>
        <v>4</v>
      </c>
    </row>
    <row r="221" ht="15.75" customHeight="1">
      <c r="A221" s="8">
        <v>43933.0</v>
      </c>
      <c r="B221" s="9">
        <v>5.0</v>
      </c>
      <c r="C221" s="9">
        <v>5429.0</v>
      </c>
      <c r="D221" s="10" t="s">
        <v>15</v>
      </c>
      <c r="E221" s="10" t="s">
        <v>29</v>
      </c>
      <c r="F221" s="10" t="s">
        <v>303</v>
      </c>
      <c r="G221" s="9" t="str">
        <f t="shared" si="1"/>
        <v/>
      </c>
      <c r="H221" s="10">
        <f t="shared" si="2"/>
        <v>5429</v>
      </c>
      <c r="I221" s="10">
        <f t="shared" si="3"/>
        <v>4</v>
      </c>
    </row>
    <row r="222" ht="15.75" customHeight="1">
      <c r="A222" s="8">
        <v>43933.0</v>
      </c>
      <c r="B222" s="9">
        <v>6.0</v>
      </c>
      <c r="C222" s="9">
        <v>8231.0</v>
      </c>
      <c r="D222" s="10" t="s">
        <v>95</v>
      </c>
      <c r="E222" s="10" t="s">
        <v>17</v>
      </c>
      <c r="F222" s="10" t="s">
        <v>304</v>
      </c>
      <c r="G222" s="10">
        <f t="shared" si="1"/>
        <v>8231</v>
      </c>
      <c r="H222" s="9" t="str">
        <f t="shared" si="2"/>
        <v/>
      </c>
      <c r="I222" s="10">
        <f t="shared" si="3"/>
        <v>4</v>
      </c>
    </row>
    <row r="223" ht="15.75" customHeight="1">
      <c r="A223" s="8">
        <v>43933.0</v>
      </c>
      <c r="B223" s="9">
        <v>10.0</v>
      </c>
      <c r="C223" s="9">
        <v>2973.0</v>
      </c>
      <c r="D223" s="10" t="s">
        <v>15</v>
      </c>
      <c r="E223" s="10" t="s">
        <v>17</v>
      </c>
      <c r="F223" s="10" t="s">
        <v>305</v>
      </c>
      <c r="G223" s="10">
        <f t="shared" si="1"/>
        <v>2973</v>
      </c>
      <c r="H223" s="9" t="str">
        <f t="shared" si="2"/>
        <v/>
      </c>
      <c r="I223" s="10">
        <f t="shared" si="3"/>
        <v>4</v>
      </c>
    </row>
    <row r="224" ht="15.75" customHeight="1">
      <c r="A224" s="8">
        <v>43934.0</v>
      </c>
      <c r="B224" s="9">
        <v>2.0</v>
      </c>
      <c r="C224" s="9">
        <v>1240.0</v>
      </c>
      <c r="D224" s="10" t="s">
        <v>31</v>
      </c>
      <c r="E224" s="10" t="s">
        <v>17</v>
      </c>
      <c r="F224" s="10" t="s">
        <v>306</v>
      </c>
      <c r="G224" s="10">
        <f t="shared" si="1"/>
        <v>1240</v>
      </c>
      <c r="H224" s="9" t="str">
        <f t="shared" si="2"/>
        <v/>
      </c>
      <c r="I224" s="10">
        <f t="shared" si="3"/>
        <v>4</v>
      </c>
    </row>
    <row r="225" ht="15.75" customHeight="1">
      <c r="A225" s="8">
        <v>43934.0</v>
      </c>
      <c r="B225" s="9">
        <v>4.0</v>
      </c>
      <c r="C225" s="9">
        <v>7010.0</v>
      </c>
      <c r="D225" s="10" t="s">
        <v>15</v>
      </c>
      <c r="E225" s="10" t="s">
        <v>17</v>
      </c>
      <c r="F225" s="10" t="s">
        <v>307</v>
      </c>
      <c r="G225" s="10">
        <f t="shared" si="1"/>
        <v>7010</v>
      </c>
      <c r="H225" s="9" t="str">
        <f t="shared" si="2"/>
        <v/>
      </c>
      <c r="I225" s="10">
        <f t="shared" si="3"/>
        <v>4</v>
      </c>
    </row>
    <row r="226" ht="15.75" customHeight="1">
      <c r="A226" s="8">
        <v>43935.0</v>
      </c>
      <c r="B226" s="9">
        <v>8.0</v>
      </c>
      <c r="C226" s="9">
        <v>5838.0</v>
      </c>
      <c r="D226" s="10" t="s">
        <v>15</v>
      </c>
      <c r="E226" s="10" t="s">
        <v>29</v>
      </c>
      <c r="F226" s="10" t="s">
        <v>308</v>
      </c>
      <c r="G226" s="9" t="str">
        <f t="shared" si="1"/>
        <v/>
      </c>
      <c r="H226" s="10">
        <f t="shared" si="2"/>
        <v>5838</v>
      </c>
      <c r="I226" s="10">
        <f t="shared" si="3"/>
        <v>4</v>
      </c>
    </row>
    <row r="227" ht="15.75" customHeight="1">
      <c r="A227" s="8">
        <v>43936.0</v>
      </c>
      <c r="B227" s="9">
        <v>2.0</v>
      </c>
      <c r="C227" s="9">
        <v>8820.0</v>
      </c>
      <c r="D227" s="10" t="s">
        <v>95</v>
      </c>
      <c r="E227" s="10" t="s">
        <v>29</v>
      </c>
      <c r="F227" s="10" t="s">
        <v>309</v>
      </c>
      <c r="G227" s="9" t="str">
        <f t="shared" si="1"/>
        <v/>
      </c>
      <c r="H227" s="9" t="str">
        <f t="shared" si="2"/>
        <v/>
      </c>
      <c r="I227" s="10">
        <f t="shared" si="3"/>
        <v>4</v>
      </c>
    </row>
    <row r="228" ht="15.75" customHeight="1">
      <c r="A228" s="8">
        <v>43936.0</v>
      </c>
      <c r="B228" s="9">
        <v>2.0</v>
      </c>
      <c r="C228" s="9">
        <v>7273.0</v>
      </c>
      <c r="D228" s="10" t="s">
        <v>15</v>
      </c>
      <c r="E228" s="10" t="s">
        <v>17</v>
      </c>
      <c r="F228" s="10" t="s">
        <v>310</v>
      </c>
      <c r="G228" s="10">
        <f t="shared" si="1"/>
        <v>7273</v>
      </c>
      <c r="H228" s="9" t="str">
        <f t="shared" si="2"/>
        <v/>
      </c>
      <c r="I228" s="10">
        <f t="shared" si="3"/>
        <v>4</v>
      </c>
    </row>
    <row r="229" ht="15.75" customHeight="1">
      <c r="A229" s="8">
        <v>43937.0</v>
      </c>
      <c r="B229" s="9">
        <v>3.0</v>
      </c>
      <c r="C229" s="9">
        <v>1751.0</v>
      </c>
      <c r="D229" s="10" t="s">
        <v>15</v>
      </c>
      <c r="E229" s="10" t="s">
        <v>17</v>
      </c>
      <c r="F229" s="10" t="s">
        <v>311</v>
      </c>
      <c r="G229" s="10">
        <f t="shared" si="1"/>
        <v>1751</v>
      </c>
      <c r="H229" s="9" t="str">
        <f t="shared" si="2"/>
        <v/>
      </c>
      <c r="I229" s="10">
        <f t="shared" si="3"/>
        <v>4</v>
      </c>
    </row>
    <row r="230" ht="15.75" customHeight="1">
      <c r="A230" s="8">
        <v>43937.0</v>
      </c>
      <c r="B230" s="9">
        <v>2.0</v>
      </c>
      <c r="C230" s="9">
        <v>7559.0</v>
      </c>
      <c r="D230" s="10" t="s">
        <v>95</v>
      </c>
      <c r="E230" s="10" t="s">
        <v>29</v>
      </c>
      <c r="F230" s="10" t="s">
        <v>312</v>
      </c>
      <c r="G230" s="9" t="str">
        <f t="shared" si="1"/>
        <v/>
      </c>
      <c r="H230" s="9" t="str">
        <f t="shared" si="2"/>
        <v/>
      </c>
      <c r="I230" s="10">
        <f t="shared" si="3"/>
        <v>4</v>
      </c>
    </row>
    <row r="231" ht="15.75" customHeight="1">
      <c r="A231" s="8">
        <v>43938.0</v>
      </c>
      <c r="B231" s="9">
        <v>7.0</v>
      </c>
      <c r="C231" s="9">
        <v>9434.0</v>
      </c>
      <c r="D231" s="10" t="s">
        <v>15</v>
      </c>
      <c r="E231" s="10" t="s">
        <v>29</v>
      </c>
      <c r="F231" s="10" t="s">
        <v>313</v>
      </c>
      <c r="G231" s="9" t="str">
        <f t="shared" si="1"/>
        <v/>
      </c>
      <c r="H231" s="10">
        <f t="shared" si="2"/>
        <v>9434</v>
      </c>
      <c r="I231" s="10">
        <f t="shared" si="3"/>
        <v>4</v>
      </c>
    </row>
    <row r="232" ht="15.75" customHeight="1">
      <c r="A232" s="8">
        <v>43938.0</v>
      </c>
      <c r="B232" s="9">
        <v>9.0</v>
      </c>
      <c r="C232" s="9">
        <v>2688.0</v>
      </c>
      <c r="D232" s="10" t="s">
        <v>15</v>
      </c>
      <c r="E232" s="10" t="s">
        <v>29</v>
      </c>
      <c r="F232" s="10" t="s">
        <v>314</v>
      </c>
      <c r="G232" s="9" t="str">
        <f t="shared" si="1"/>
        <v/>
      </c>
      <c r="H232" s="10">
        <f t="shared" si="2"/>
        <v>2688</v>
      </c>
      <c r="I232" s="10">
        <f t="shared" si="3"/>
        <v>4</v>
      </c>
    </row>
    <row r="233" ht="15.75" customHeight="1">
      <c r="A233" s="8">
        <v>43938.0</v>
      </c>
      <c r="B233" s="9">
        <v>7.0</v>
      </c>
      <c r="C233" s="9">
        <v>9403.0</v>
      </c>
      <c r="D233" s="10" t="s">
        <v>15</v>
      </c>
      <c r="E233" s="10" t="s">
        <v>17</v>
      </c>
      <c r="F233" s="10" t="s">
        <v>315</v>
      </c>
      <c r="G233" s="10">
        <f t="shared" si="1"/>
        <v>9403</v>
      </c>
      <c r="H233" s="9" t="str">
        <f t="shared" si="2"/>
        <v/>
      </c>
      <c r="I233" s="10">
        <f t="shared" si="3"/>
        <v>4</v>
      </c>
    </row>
    <row r="234" ht="15.75" customHeight="1">
      <c r="A234" s="8">
        <v>43939.0</v>
      </c>
      <c r="B234" s="9">
        <v>4.0</v>
      </c>
      <c r="C234" s="9">
        <v>2172.0</v>
      </c>
      <c r="D234" s="10" t="s">
        <v>15</v>
      </c>
      <c r="E234" s="10" t="s">
        <v>29</v>
      </c>
      <c r="F234" s="10" t="s">
        <v>316</v>
      </c>
      <c r="G234" s="9" t="str">
        <f t="shared" si="1"/>
        <v/>
      </c>
      <c r="H234" s="10">
        <f t="shared" si="2"/>
        <v>2172</v>
      </c>
      <c r="I234" s="10">
        <f t="shared" si="3"/>
        <v>4</v>
      </c>
    </row>
    <row r="235" ht="15.75" customHeight="1">
      <c r="A235" s="8">
        <v>43940.0</v>
      </c>
      <c r="B235" s="9">
        <v>9.0</v>
      </c>
      <c r="C235" s="9">
        <v>6792.0</v>
      </c>
      <c r="D235" s="10" t="s">
        <v>15</v>
      </c>
      <c r="E235" s="10" t="s">
        <v>17</v>
      </c>
      <c r="F235" s="10" t="s">
        <v>317</v>
      </c>
      <c r="G235" s="10">
        <f t="shared" si="1"/>
        <v>6792</v>
      </c>
      <c r="H235" s="9" t="str">
        <f t="shared" si="2"/>
        <v/>
      </c>
      <c r="I235" s="10">
        <f t="shared" si="3"/>
        <v>4</v>
      </c>
    </row>
    <row r="236" ht="15.75" customHeight="1">
      <c r="A236" s="8">
        <v>43941.0</v>
      </c>
      <c r="B236" s="9">
        <v>8.0</v>
      </c>
      <c r="C236" s="9">
        <v>8438.0</v>
      </c>
      <c r="D236" s="10" t="s">
        <v>15</v>
      </c>
      <c r="E236" s="10" t="s">
        <v>17</v>
      </c>
      <c r="F236" s="10" t="s">
        <v>318</v>
      </c>
      <c r="G236" s="10">
        <f t="shared" si="1"/>
        <v>8438</v>
      </c>
      <c r="H236" s="9" t="str">
        <f t="shared" si="2"/>
        <v/>
      </c>
      <c r="I236" s="10">
        <f t="shared" si="3"/>
        <v>4</v>
      </c>
    </row>
    <row r="237" ht="15.75" customHeight="1">
      <c r="A237" s="8">
        <v>43941.0</v>
      </c>
      <c r="B237" s="9">
        <v>9.0</v>
      </c>
      <c r="C237" s="9">
        <v>138.0</v>
      </c>
      <c r="D237" s="10" t="s">
        <v>15</v>
      </c>
      <c r="E237" s="10" t="s">
        <v>17</v>
      </c>
      <c r="F237" s="10" t="s">
        <v>319</v>
      </c>
      <c r="G237" s="10">
        <f t="shared" si="1"/>
        <v>138</v>
      </c>
      <c r="H237" s="9" t="str">
        <f t="shared" si="2"/>
        <v/>
      </c>
      <c r="I237" s="10">
        <f t="shared" si="3"/>
        <v>4</v>
      </c>
    </row>
    <row r="238" ht="15.75" customHeight="1">
      <c r="A238" s="8">
        <v>43941.0</v>
      </c>
      <c r="B238" s="9">
        <v>5.0</v>
      </c>
      <c r="C238" s="9">
        <v>1233.0</v>
      </c>
      <c r="D238" s="10" t="s">
        <v>15</v>
      </c>
      <c r="E238" s="10" t="s">
        <v>17</v>
      </c>
      <c r="F238" s="10" t="s">
        <v>320</v>
      </c>
      <c r="G238" s="10">
        <f t="shared" si="1"/>
        <v>1233</v>
      </c>
      <c r="H238" s="9" t="str">
        <f t="shared" si="2"/>
        <v/>
      </c>
      <c r="I238" s="10">
        <f t="shared" si="3"/>
        <v>4</v>
      </c>
    </row>
    <row r="239" ht="15.75" customHeight="1">
      <c r="A239" s="8">
        <v>43942.0</v>
      </c>
      <c r="B239" s="9">
        <v>7.0</v>
      </c>
      <c r="C239" s="9">
        <v>4837.0</v>
      </c>
      <c r="D239" s="10" t="s">
        <v>15</v>
      </c>
      <c r="E239" s="10" t="s">
        <v>17</v>
      </c>
      <c r="F239" s="10" t="s">
        <v>321</v>
      </c>
      <c r="G239" s="10">
        <f t="shared" si="1"/>
        <v>4837</v>
      </c>
      <c r="H239" s="9" t="str">
        <f t="shared" si="2"/>
        <v/>
      </c>
      <c r="I239" s="10">
        <f t="shared" si="3"/>
        <v>4</v>
      </c>
    </row>
    <row r="240" ht="15.75" customHeight="1">
      <c r="A240" s="8">
        <v>43943.0</v>
      </c>
      <c r="B240" s="9">
        <v>1.0</v>
      </c>
      <c r="C240" s="9">
        <v>9028.0</v>
      </c>
      <c r="D240" s="10" t="s">
        <v>15</v>
      </c>
      <c r="E240" s="10" t="s">
        <v>17</v>
      </c>
      <c r="F240" s="10" t="s">
        <v>322</v>
      </c>
      <c r="G240" s="10">
        <f t="shared" si="1"/>
        <v>9028</v>
      </c>
      <c r="H240" s="9" t="str">
        <f t="shared" si="2"/>
        <v/>
      </c>
      <c r="I240" s="10">
        <f t="shared" si="3"/>
        <v>4</v>
      </c>
    </row>
    <row r="241" ht="15.75" customHeight="1">
      <c r="A241" s="8">
        <v>43943.0</v>
      </c>
      <c r="B241" s="9">
        <v>9.0</v>
      </c>
      <c r="C241" s="9">
        <v>1321.0</v>
      </c>
      <c r="D241" s="10" t="s">
        <v>31</v>
      </c>
      <c r="E241" s="10" t="s">
        <v>17</v>
      </c>
      <c r="F241" s="10" t="s">
        <v>323</v>
      </c>
      <c r="G241" s="10">
        <f t="shared" si="1"/>
        <v>1321</v>
      </c>
      <c r="H241" s="9" t="str">
        <f t="shared" si="2"/>
        <v/>
      </c>
      <c r="I241" s="10">
        <f t="shared" si="3"/>
        <v>4</v>
      </c>
    </row>
    <row r="242" ht="15.75" customHeight="1">
      <c r="A242" s="8">
        <v>43943.0</v>
      </c>
      <c r="B242" s="9">
        <v>8.0</v>
      </c>
      <c r="C242" s="9">
        <v>8289.0</v>
      </c>
      <c r="D242" s="10" t="s">
        <v>34</v>
      </c>
      <c r="E242" s="10" t="s">
        <v>29</v>
      </c>
      <c r="F242" s="10" t="s">
        <v>324</v>
      </c>
      <c r="G242" s="9" t="str">
        <f t="shared" si="1"/>
        <v/>
      </c>
      <c r="H242" s="9" t="str">
        <f t="shared" si="2"/>
        <v/>
      </c>
      <c r="I242" s="10">
        <f t="shared" si="3"/>
        <v>4</v>
      </c>
    </row>
    <row r="243" ht="15.75" customHeight="1">
      <c r="A243" s="8">
        <v>43945.0</v>
      </c>
      <c r="B243" s="9">
        <v>7.0</v>
      </c>
      <c r="C243" s="9">
        <v>424.0</v>
      </c>
      <c r="D243" s="10" t="s">
        <v>31</v>
      </c>
      <c r="E243" s="10" t="s">
        <v>17</v>
      </c>
      <c r="F243" s="10" t="s">
        <v>325</v>
      </c>
      <c r="G243" s="10">
        <f t="shared" si="1"/>
        <v>424</v>
      </c>
      <c r="H243" s="9" t="str">
        <f t="shared" si="2"/>
        <v/>
      </c>
      <c r="I243" s="10">
        <f t="shared" si="3"/>
        <v>4</v>
      </c>
    </row>
    <row r="244" ht="15.75" customHeight="1">
      <c r="A244" s="8">
        <v>43945.0</v>
      </c>
      <c r="B244" s="9">
        <v>7.0</v>
      </c>
      <c r="C244" s="9">
        <v>4601.0</v>
      </c>
      <c r="D244" s="10" t="s">
        <v>15</v>
      </c>
      <c r="E244" s="10" t="s">
        <v>17</v>
      </c>
      <c r="F244" s="10" t="s">
        <v>326</v>
      </c>
      <c r="G244" s="10">
        <f t="shared" si="1"/>
        <v>4601</v>
      </c>
      <c r="H244" s="9" t="str">
        <f t="shared" si="2"/>
        <v/>
      </c>
      <c r="I244" s="10">
        <f t="shared" si="3"/>
        <v>4</v>
      </c>
    </row>
    <row r="245" ht="15.75" customHeight="1">
      <c r="A245" s="8">
        <v>43945.0</v>
      </c>
      <c r="B245" s="9">
        <v>5.0</v>
      </c>
      <c r="C245" s="9">
        <v>4387.0</v>
      </c>
      <c r="D245" s="10" t="s">
        <v>95</v>
      </c>
      <c r="E245" s="10" t="s">
        <v>17</v>
      </c>
      <c r="F245" s="10" t="s">
        <v>327</v>
      </c>
      <c r="G245" s="10">
        <f t="shared" si="1"/>
        <v>4387</v>
      </c>
      <c r="H245" s="9" t="str">
        <f t="shared" si="2"/>
        <v/>
      </c>
      <c r="I245" s="10">
        <f t="shared" si="3"/>
        <v>4</v>
      </c>
    </row>
    <row r="246" ht="15.75" customHeight="1">
      <c r="A246" s="8">
        <v>43946.0</v>
      </c>
      <c r="B246" s="9">
        <v>2.0</v>
      </c>
      <c r="C246" s="9">
        <v>9113.0</v>
      </c>
      <c r="D246" s="10" t="s">
        <v>31</v>
      </c>
      <c r="E246" s="10" t="s">
        <v>17</v>
      </c>
      <c r="F246" s="10" t="s">
        <v>328</v>
      </c>
      <c r="G246" s="10">
        <f t="shared" si="1"/>
        <v>9113</v>
      </c>
      <c r="H246" s="9" t="str">
        <f t="shared" si="2"/>
        <v/>
      </c>
      <c r="I246" s="10">
        <f t="shared" si="3"/>
        <v>4</v>
      </c>
    </row>
    <row r="247" ht="15.75" customHeight="1">
      <c r="A247" s="8">
        <v>43946.0</v>
      </c>
      <c r="B247" s="9">
        <v>3.0</v>
      </c>
      <c r="C247" s="9">
        <v>188.0</v>
      </c>
      <c r="D247" s="10" t="s">
        <v>95</v>
      </c>
      <c r="E247" s="10" t="s">
        <v>17</v>
      </c>
      <c r="F247" s="10" t="s">
        <v>330</v>
      </c>
      <c r="G247" s="10">
        <f t="shared" si="1"/>
        <v>188</v>
      </c>
      <c r="H247" s="9" t="str">
        <f t="shared" si="2"/>
        <v/>
      </c>
      <c r="I247" s="10">
        <f t="shared" si="3"/>
        <v>4</v>
      </c>
    </row>
    <row r="248" ht="15.75" customHeight="1">
      <c r="A248" s="8">
        <v>43946.0</v>
      </c>
      <c r="B248" s="9">
        <v>9.0</v>
      </c>
      <c r="C248" s="9">
        <v>4699.0</v>
      </c>
      <c r="D248" s="10" t="s">
        <v>31</v>
      </c>
      <c r="E248" s="10" t="s">
        <v>17</v>
      </c>
      <c r="F248" s="10" t="s">
        <v>331</v>
      </c>
      <c r="G248" s="10">
        <f t="shared" si="1"/>
        <v>4699</v>
      </c>
      <c r="H248" s="9" t="str">
        <f t="shared" si="2"/>
        <v/>
      </c>
      <c r="I248" s="10">
        <f t="shared" si="3"/>
        <v>4</v>
      </c>
    </row>
    <row r="249" ht="15.75" customHeight="1">
      <c r="A249" s="8">
        <v>43947.0</v>
      </c>
      <c r="B249" s="9">
        <v>7.0</v>
      </c>
      <c r="C249" s="9">
        <v>6486.0</v>
      </c>
      <c r="D249" s="10" t="s">
        <v>15</v>
      </c>
      <c r="E249" s="10" t="s">
        <v>17</v>
      </c>
      <c r="F249" s="10" t="s">
        <v>332</v>
      </c>
      <c r="G249" s="10">
        <f t="shared" si="1"/>
        <v>6486</v>
      </c>
      <c r="H249" s="9" t="str">
        <f t="shared" si="2"/>
        <v/>
      </c>
      <c r="I249" s="10">
        <f t="shared" si="3"/>
        <v>4</v>
      </c>
    </row>
    <row r="250" ht="15.75" customHeight="1">
      <c r="A250" s="8">
        <v>43947.0</v>
      </c>
      <c r="B250" s="9">
        <v>6.0</v>
      </c>
      <c r="C250" s="9">
        <v>6988.0</v>
      </c>
      <c r="D250" s="10" t="s">
        <v>15</v>
      </c>
      <c r="E250" s="10" t="s">
        <v>17</v>
      </c>
      <c r="F250" s="10" t="s">
        <v>333</v>
      </c>
      <c r="G250" s="10">
        <f t="shared" si="1"/>
        <v>6988</v>
      </c>
      <c r="H250" s="9" t="str">
        <f t="shared" si="2"/>
        <v/>
      </c>
      <c r="I250" s="10">
        <f t="shared" si="3"/>
        <v>4</v>
      </c>
    </row>
    <row r="251" ht="15.75" customHeight="1">
      <c r="A251" s="8">
        <v>43947.0</v>
      </c>
      <c r="B251" s="9">
        <v>6.0</v>
      </c>
      <c r="C251" s="9">
        <v>308.0</v>
      </c>
      <c r="D251" s="10" t="s">
        <v>95</v>
      </c>
      <c r="E251" s="10" t="s">
        <v>17</v>
      </c>
      <c r="F251" s="10" t="s">
        <v>334</v>
      </c>
      <c r="G251" s="10">
        <f t="shared" si="1"/>
        <v>308</v>
      </c>
      <c r="H251" s="9" t="str">
        <f t="shared" si="2"/>
        <v/>
      </c>
      <c r="I251" s="10">
        <f t="shared" si="3"/>
        <v>4</v>
      </c>
    </row>
    <row r="252" ht="15.75" customHeight="1">
      <c r="A252" s="8">
        <v>43948.0</v>
      </c>
      <c r="B252" s="9">
        <v>5.0</v>
      </c>
      <c r="C252" s="9">
        <v>2369.0</v>
      </c>
      <c r="D252" s="10" t="s">
        <v>34</v>
      </c>
      <c r="E252" s="10" t="s">
        <v>17</v>
      </c>
      <c r="F252" s="10" t="s">
        <v>335</v>
      </c>
      <c r="G252" s="10">
        <f t="shared" si="1"/>
        <v>2369</v>
      </c>
      <c r="H252" s="9" t="str">
        <f t="shared" si="2"/>
        <v/>
      </c>
      <c r="I252" s="10">
        <f t="shared" si="3"/>
        <v>4</v>
      </c>
    </row>
    <row r="253" ht="15.75" customHeight="1">
      <c r="A253" s="8">
        <v>43949.0</v>
      </c>
      <c r="B253" s="9">
        <v>10.0</v>
      </c>
      <c r="C253" s="9">
        <v>6987.0</v>
      </c>
      <c r="D253" s="10" t="s">
        <v>31</v>
      </c>
      <c r="E253" s="10" t="s">
        <v>17</v>
      </c>
      <c r="F253" s="10" t="s">
        <v>336</v>
      </c>
      <c r="G253" s="10">
        <f t="shared" si="1"/>
        <v>6987</v>
      </c>
      <c r="H253" s="9" t="str">
        <f t="shared" si="2"/>
        <v/>
      </c>
      <c r="I253" s="10">
        <f t="shared" si="3"/>
        <v>4</v>
      </c>
    </row>
    <row r="254" ht="15.75" customHeight="1">
      <c r="A254" s="8">
        <v>43949.0</v>
      </c>
      <c r="B254" s="9">
        <v>10.0</v>
      </c>
      <c r="C254" s="9">
        <v>427.0</v>
      </c>
      <c r="D254" s="10" t="s">
        <v>15</v>
      </c>
      <c r="E254" s="10" t="s">
        <v>17</v>
      </c>
      <c r="F254" s="10" t="s">
        <v>337</v>
      </c>
      <c r="G254" s="10">
        <f t="shared" si="1"/>
        <v>427</v>
      </c>
      <c r="H254" s="9" t="str">
        <f t="shared" si="2"/>
        <v/>
      </c>
      <c r="I254" s="10">
        <f t="shared" si="3"/>
        <v>4</v>
      </c>
    </row>
    <row r="255" ht="15.75" customHeight="1">
      <c r="A255" s="8">
        <v>43949.0</v>
      </c>
      <c r="B255" s="9">
        <v>3.0</v>
      </c>
      <c r="C255" s="9">
        <v>5721.0</v>
      </c>
      <c r="D255" s="10" t="s">
        <v>95</v>
      </c>
      <c r="E255" s="10" t="s">
        <v>17</v>
      </c>
      <c r="F255" s="10" t="s">
        <v>338</v>
      </c>
      <c r="G255" s="10">
        <f t="shared" si="1"/>
        <v>5721</v>
      </c>
      <c r="H255" s="9" t="str">
        <f t="shared" si="2"/>
        <v/>
      </c>
      <c r="I255" s="10">
        <f t="shared" si="3"/>
        <v>4</v>
      </c>
    </row>
    <row r="256" ht="15.75" customHeight="1">
      <c r="A256" s="8">
        <v>43950.0</v>
      </c>
      <c r="B256" s="9">
        <v>7.0</v>
      </c>
      <c r="C256" s="9">
        <v>7533.0</v>
      </c>
      <c r="D256" s="10" t="s">
        <v>15</v>
      </c>
      <c r="E256" s="10" t="s">
        <v>17</v>
      </c>
      <c r="F256" s="10" t="s">
        <v>339</v>
      </c>
      <c r="G256" s="10">
        <f t="shared" si="1"/>
        <v>7533</v>
      </c>
      <c r="H256" s="9" t="str">
        <f t="shared" si="2"/>
        <v/>
      </c>
      <c r="I256" s="10">
        <f t="shared" si="3"/>
        <v>4</v>
      </c>
    </row>
    <row r="257" ht="15.75" customHeight="1">
      <c r="A257" s="8">
        <v>43950.0</v>
      </c>
      <c r="B257" s="9">
        <v>10.0</v>
      </c>
      <c r="C257" s="9">
        <v>5826.0</v>
      </c>
      <c r="D257" s="10" t="s">
        <v>15</v>
      </c>
      <c r="E257" s="10" t="s">
        <v>29</v>
      </c>
      <c r="F257" s="10" t="s">
        <v>340</v>
      </c>
      <c r="G257" s="9" t="str">
        <f t="shared" si="1"/>
        <v/>
      </c>
      <c r="H257" s="10">
        <f t="shared" si="2"/>
        <v>5826</v>
      </c>
      <c r="I257" s="10">
        <f t="shared" si="3"/>
        <v>4</v>
      </c>
    </row>
    <row r="258" ht="15.75" customHeight="1">
      <c r="A258" s="8">
        <v>43951.0</v>
      </c>
      <c r="B258" s="9">
        <v>6.0</v>
      </c>
      <c r="C258" s="9">
        <v>7563.0</v>
      </c>
      <c r="D258" s="10" t="s">
        <v>15</v>
      </c>
      <c r="E258" s="10" t="s">
        <v>17</v>
      </c>
      <c r="F258" s="10" t="s">
        <v>341</v>
      </c>
      <c r="G258" s="10">
        <f t="shared" si="1"/>
        <v>7563</v>
      </c>
      <c r="H258" s="9" t="str">
        <f t="shared" si="2"/>
        <v/>
      </c>
      <c r="I258" s="10">
        <f t="shared" si="3"/>
        <v>4</v>
      </c>
    </row>
    <row r="259" ht="15.75" customHeight="1">
      <c r="A259" s="8">
        <v>43952.0</v>
      </c>
      <c r="B259" s="9">
        <v>8.0</v>
      </c>
      <c r="C259" s="9">
        <v>7164.0</v>
      </c>
      <c r="D259" s="10" t="s">
        <v>15</v>
      </c>
      <c r="E259" s="10" t="s">
        <v>17</v>
      </c>
      <c r="F259" s="10" t="s">
        <v>342</v>
      </c>
      <c r="G259" s="10">
        <f t="shared" si="1"/>
        <v>7164</v>
      </c>
      <c r="H259" s="9" t="str">
        <f t="shared" si="2"/>
        <v/>
      </c>
      <c r="I259" s="10">
        <f t="shared" si="3"/>
        <v>5</v>
      </c>
    </row>
    <row r="260" ht="15.75" customHeight="1">
      <c r="A260" s="8">
        <v>43952.0</v>
      </c>
      <c r="B260" s="9">
        <v>6.0</v>
      </c>
      <c r="C260" s="9">
        <v>2616.0</v>
      </c>
      <c r="D260" s="10" t="s">
        <v>15</v>
      </c>
      <c r="E260" s="10" t="s">
        <v>17</v>
      </c>
      <c r="F260" s="10" t="s">
        <v>343</v>
      </c>
      <c r="G260" s="10">
        <f t="shared" si="1"/>
        <v>2616</v>
      </c>
      <c r="H260" s="9" t="str">
        <f t="shared" si="2"/>
        <v/>
      </c>
      <c r="I260" s="10">
        <f t="shared" si="3"/>
        <v>5</v>
      </c>
    </row>
    <row r="261" ht="15.75" customHeight="1">
      <c r="A261" s="8">
        <v>43953.0</v>
      </c>
      <c r="B261" s="9">
        <v>1.0</v>
      </c>
      <c r="C261" s="9">
        <v>3819.0</v>
      </c>
      <c r="D261" s="10" t="s">
        <v>15</v>
      </c>
      <c r="E261" s="10" t="s">
        <v>17</v>
      </c>
      <c r="F261" s="10" t="s">
        <v>344</v>
      </c>
      <c r="G261" s="10">
        <f t="shared" si="1"/>
        <v>3819</v>
      </c>
      <c r="H261" s="9" t="str">
        <f t="shared" si="2"/>
        <v/>
      </c>
      <c r="I261" s="10">
        <f t="shared" si="3"/>
        <v>5</v>
      </c>
    </row>
    <row r="262" ht="15.75" customHeight="1">
      <c r="A262" s="8">
        <v>43954.0</v>
      </c>
      <c r="B262" s="9">
        <v>9.0</v>
      </c>
      <c r="C262" s="9">
        <v>7694.0</v>
      </c>
      <c r="D262" s="10" t="s">
        <v>15</v>
      </c>
      <c r="E262" s="10" t="s">
        <v>17</v>
      </c>
      <c r="F262" s="10" t="s">
        <v>345</v>
      </c>
      <c r="G262" s="10">
        <f t="shared" si="1"/>
        <v>7694</v>
      </c>
      <c r="H262" s="9" t="str">
        <f t="shared" si="2"/>
        <v/>
      </c>
      <c r="I262" s="10">
        <f t="shared" si="3"/>
        <v>5</v>
      </c>
    </row>
    <row r="263" ht="15.75" customHeight="1">
      <c r="A263" s="8">
        <v>43955.0</v>
      </c>
      <c r="B263" s="9">
        <v>4.0</v>
      </c>
      <c r="C263" s="9">
        <v>5842.0</v>
      </c>
      <c r="D263" s="10" t="s">
        <v>15</v>
      </c>
      <c r="E263" s="10" t="s">
        <v>29</v>
      </c>
      <c r="F263" s="10" t="s">
        <v>346</v>
      </c>
      <c r="G263" s="9" t="str">
        <f t="shared" si="1"/>
        <v/>
      </c>
      <c r="H263" s="10">
        <f t="shared" si="2"/>
        <v>5842</v>
      </c>
      <c r="I263" s="10">
        <f t="shared" si="3"/>
        <v>5</v>
      </c>
    </row>
    <row r="264" ht="15.75" customHeight="1">
      <c r="A264" s="8">
        <v>43955.0</v>
      </c>
      <c r="B264" s="9">
        <v>2.0</v>
      </c>
      <c r="C264" s="9">
        <v>6728.0</v>
      </c>
      <c r="D264" s="10" t="s">
        <v>15</v>
      </c>
      <c r="E264" s="10" t="s">
        <v>17</v>
      </c>
      <c r="F264" s="10" t="s">
        <v>347</v>
      </c>
      <c r="G264" s="10">
        <f t="shared" si="1"/>
        <v>6728</v>
      </c>
      <c r="H264" s="9" t="str">
        <f t="shared" si="2"/>
        <v/>
      </c>
      <c r="I264" s="10">
        <f t="shared" si="3"/>
        <v>5</v>
      </c>
    </row>
    <row r="265" ht="15.75" customHeight="1">
      <c r="A265" s="8">
        <v>43955.0</v>
      </c>
      <c r="B265" s="9">
        <v>5.0</v>
      </c>
      <c r="C265" s="9">
        <v>1992.0</v>
      </c>
      <c r="D265" s="10" t="s">
        <v>34</v>
      </c>
      <c r="E265" s="10" t="s">
        <v>17</v>
      </c>
      <c r="F265" s="10" t="s">
        <v>348</v>
      </c>
      <c r="G265" s="10">
        <f t="shared" si="1"/>
        <v>1992</v>
      </c>
      <c r="H265" s="9" t="str">
        <f t="shared" si="2"/>
        <v/>
      </c>
      <c r="I265" s="10">
        <f t="shared" si="3"/>
        <v>5</v>
      </c>
    </row>
    <row r="266" ht="15.75" customHeight="1">
      <c r="A266" s="8">
        <v>43956.0</v>
      </c>
      <c r="B266" s="9">
        <v>4.0</v>
      </c>
      <c r="C266" s="9">
        <v>3374.0</v>
      </c>
      <c r="D266" s="10" t="s">
        <v>31</v>
      </c>
      <c r="E266" s="10" t="s">
        <v>29</v>
      </c>
      <c r="F266" s="10" t="s">
        <v>349</v>
      </c>
      <c r="G266" s="9" t="str">
        <f t="shared" si="1"/>
        <v/>
      </c>
      <c r="H266" s="9" t="str">
        <f t="shared" si="2"/>
        <v/>
      </c>
      <c r="I266" s="10">
        <f t="shared" si="3"/>
        <v>5</v>
      </c>
    </row>
    <row r="267" ht="15.75" customHeight="1">
      <c r="A267" s="8">
        <v>43956.0</v>
      </c>
      <c r="B267" s="9">
        <v>9.0</v>
      </c>
      <c r="C267" s="9">
        <v>3116.0</v>
      </c>
      <c r="D267" s="10" t="s">
        <v>31</v>
      </c>
      <c r="E267" s="10" t="s">
        <v>17</v>
      </c>
      <c r="F267" s="10" t="s">
        <v>350</v>
      </c>
      <c r="G267" s="10">
        <f t="shared" si="1"/>
        <v>3116</v>
      </c>
      <c r="H267" s="9" t="str">
        <f t="shared" si="2"/>
        <v/>
      </c>
      <c r="I267" s="10">
        <f t="shared" si="3"/>
        <v>5</v>
      </c>
    </row>
    <row r="268" ht="15.75" customHeight="1">
      <c r="A268" s="8">
        <v>43956.0</v>
      </c>
      <c r="B268" s="9">
        <v>6.0</v>
      </c>
      <c r="C268" s="9">
        <v>7110.0</v>
      </c>
      <c r="D268" s="10" t="s">
        <v>15</v>
      </c>
      <c r="E268" s="10" t="s">
        <v>17</v>
      </c>
      <c r="F268" s="10" t="s">
        <v>351</v>
      </c>
      <c r="G268" s="10">
        <f t="shared" si="1"/>
        <v>7110</v>
      </c>
      <c r="H268" s="9" t="str">
        <f t="shared" si="2"/>
        <v/>
      </c>
      <c r="I268" s="10">
        <f t="shared" si="3"/>
        <v>5</v>
      </c>
    </row>
    <row r="269" ht="15.75" customHeight="1">
      <c r="A269" s="8">
        <v>43957.0</v>
      </c>
      <c r="B269" s="9">
        <v>2.0</v>
      </c>
      <c r="C269" s="9">
        <v>6077.0</v>
      </c>
      <c r="D269" s="10" t="s">
        <v>34</v>
      </c>
      <c r="E269" s="10" t="s">
        <v>17</v>
      </c>
      <c r="F269" s="10" t="s">
        <v>352</v>
      </c>
      <c r="G269" s="10">
        <f t="shared" si="1"/>
        <v>6077</v>
      </c>
      <c r="H269" s="9" t="str">
        <f t="shared" si="2"/>
        <v/>
      </c>
      <c r="I269" s="10">
        <f t="shared" si="3"/>
        <v>5</v>
      </c>
    </row>
    <row r="270" ht="15.75" customHeight="1">
      <c r="A270" s="8">
        <v>43957.0</v>
      </c>
      <c r="B270" s="9">
        <v>5.0</v>
      </c>
      <c r="C270" s="9">
        <v>4361.0</v>
      </c>
      <c r="D270" s="10" t="s">
        <v>31</v>
      </c>
      <c r="E270" s="10" t="s">
        <v>17</v>
      </c>
      <c r="F270" s="10" t="s">
        <v>353</v>
      </c>
      <c r="G270" s="10">
        <f t="shared" si="1"/>
        <v>4361</v>
      </c>
      <c r="H270" s="9" t="str">
        <f t="shared" si="2"/>
        <v/>
      </c>
      <c r="I270" s="10">
        <f t="shared" si="3"/>
        <v>5</v>
      </c>
    </row>
    <row r="271" ht="15.75" customHeight="1">
      <c r="A271" s="8">
        <v>43957.0</v>
      </c>
      <c r="B271" s="9">
        <v>4.0</v>
      </c>
      <c r="C271" s="9">
        <v>4526.0</v>
      </c>
      <c r="D271" s="10" t="s">
        <v>15</v>
      </c>
      <c r="E271" s="10" t="s">
        <v>29</v>
      </c>
      <c r="F271" s="10" t="s">
        <v>354</v>
      </c>
      <c r="G271" s="9" t="str">
        <f t="shared" si="1"/>
        <v/>
      </c>
      <c r="H271" s="10">
        <f t="shared" si="2"/>
        <v>4526</v>
      </c>
      <c r="I271" s="10">
        <f t="shared" si="3"/>
        <v>5</v>
      </c>
    </row>
    <row r="272" ht="15.75" customHeight="1">
      <c r="A272" s="8">
        <v>43958.0</v>
      </c>
      <c r="B272" s="9">
        <v>1.0</v>
      </c>
      <c r="C272" s="9">
        <v>512.0</v>
      </c>
      <c r="D272" s="10" t="s">
        <v>15</v>
      </c>
      <c r="E272" s="10" t="s">
        <v>17</v>
      </c>
      <c r="F272" s="10" t="s">
        <v>355</v>
      </c>
      <c r="G272" s="10">
        <f t="shared" si="1"/>
        <v>512</v>
      </c>
      <c r="H272" s="9" t="str">
        <f t="shared" si="2"/>
        <v/>
      </c>
      <c r="I272" s="10">
        <f t="shared" si="3"/>
        <v>5</v>
      </c>
    </row>
    <row r="273" ht="15.75" customHeight="1">
      <c r="A273" s="8">
        <v>43959.0</v>
      </c>
      <c r="B273" s="9">
        <v>8.0</v>
      </c>
      <c r="C273" s="9">
        <v>4302.0</v>
      </c>
      <c r="D273" s="10" t="s">
        <v>34</v>
      </c>
      <c r="E273" s="10" t="s">
        <v>17</v>
      </c>
      <c r="F273" s="10" t="s">
        <v>356</v>
      </c>
      <c r="G273" s="10">
        <f t="shared" si="1"/>
        <v>4302</v>
      </c>
      <c r="H273" s="9" t="str">
        <f t="shared" si="2"/>
        <v/>
      </c>
      <c r="I273" s="10">
        <f t="shared" si="3"/>
        <v>5</v>
      </c>
    </row>
    <row r="274" ht="15.75" customHeight="1">
      <c r="A274" s="8">
        <v>43959.0</v>
      </c>
      <c r="B274" s="9">
        <v>10.0</v>
      </c>
      <c r="C274" s="9">
        <v>9699.0</v>
      </c>
      <c r="D274" s="10" t="s">
        <v>15</v>
      </c>
      <c r="E274" s="10" t="s">
        <v>17</v>
      </c>
      <c r="F274" s="10" t="s">
        <v>357</v>
      </c>
      <c r="G274" s="10">
        <f t="shared" si="1"/>
        <v>9699</v>
      </c>
      <c r="H274" s="9" t="str">
        <f t="shared" si="2"/>
        <v/>
      </c>
      <c r="I274" s="10">
        <f t="shared" si="3"/>
        <v>5</v>
      </c>
    </row>
    <row r="275" ht="15.75" customHeight="1">
      <c r="A275" s="8">
        <v>43959.0</v>
      </c>
      <c r="B275" s="9">
        <v>3.0</v>
      </c>
      <c r="C275" s="9">
        <v>8192.0</v>
      </c>
      <c r="D275" s="10" t="s">
        <v>15</v>
      </c>
      <c r="E275" s="10" t="s">
        <v>17</v>
      </c>
      <c r="F275" s="10" t="s">
        <v>358</v>
      </c>
      <c r="G275" s="10">
        <f t="shared" si="1"/>
        <v>8192</v>
      </c>
      <c r="H275" s="9" t="str">
        <f t="shared" si="2"/>
        <v/>
      </c>
      <c r="I275" s="10">
        <f t="shared" si="3"/>
        <v>5</v>
      </c>
    </row>
    <row r="276" ht="15.75" customHeight="1">
      <c r="A276" s="8">
        <v>43959.0</v>
      </c>
      <c r="B276" s="9">
        <v>1.0</v>
      </c>
      <c r="C276" s="9">
        <v>6141.0</v>
      </c>
      <c r="D276" s="10" t="s">
        <v>15</v>
      </c>
      <c r="E276" s="10" t="s">
        <v>29</v>
      </c>
      <c r="F276" s="10" t="s">
        <v>359</v>
      </c>
      <c r="G276" s="9" t="str">
        <f t="shared" si="1"/>
        <v/>
      </c>
      <c r="H276" s="10">
        <f t="shared" si="2"/>
        <v>6141</v>
      </c>
      <c r="I276" s="10">
        <f t="shared" si="3"/>
        <v>5</v>
      </c>
    </row>
    <row r="277" ht="15.75" customHeight="1">
      <c r="A277" s="8">
        <v>43959.0</v>
      </c>
      <c r="B277" s="9">
        <v>2.0</v>
      </c>
      <c r="C277" s="9">
        <v>2293.0</v>
      </c>
      <c r="D277" s="10" t="s">
        <v>31</v>
      </c>
      <c r="E277" s="10" t="s">
        <v>17</v>
      </c>
      <c r="F277" s="10" t="s">
        <v>360</v>
      </c>
      <c r="G277" s="10">
        <f t="shared" si="1"/>
        <v>2293</v>
      </c>
      <c r="H277" s="9" t="str">
        <f t="shared" si="2"/>
        <v/>
      </c>
      <c r="I277" s="10">
        <f t="shared" si="3"/>
        <v>5</v>
      </c>
    </row>
    <row r="278" ht="15.75" customHeight="1">
      <c r="A278" s="8">
        <v>43960.0</v>
      </c>
      <c r="B278" s="9">
        <v>6.0</v>
      </c>
      <c r="C278" s="9">
        <v>8473.0</v>
      </c>
      <c r="D278" s="10" t="s">
        <v>34</v>
      </c>
      <c r="E278" s="10" t="s">
        <v>17</v>
      </c>
      <c r="F278" s="10" t="s">
        <v>361</v>
      </c>
      <c r="G278" s="10">
        <f t="shared" si="1"/>
        <v>8473</v>
      </c>
      <c r="H278" s="9" t="str">
        <f t="shared" si="2"/>
        <v/>
      </c>
      <c r="I278" s="10">
        <f t="shared" si="3"/>
        <v>5</v>
      </c>
    </row>
    <row r="279" ht="15.75" customHeight="1">
      <c r="A279" s="8">
        <v>43960.0</v>
      </c>
      <c r="B279" s="9">
        <v>2.0</v>
      </c>
      <c r="C279" s="9">
        <v>2931.0</v>
      </c>
      <c r="D279" s="10" t="s">
        <v>34</v>
      </c>
      <c r="E279" s="10" t="s">
        <v>17</v>
      </c>
      <c r="F279" s="10" t="s">
        <v>362</v>
      </c>
      <c r="G279" s="10">
        <f t="shared" si="1"/>
        <v>2931</v>
      </c>
      <c r="H279" s="9" t="str">
        <f t="shared" si="2"/>
        <v/>
      </c>
      <c r="I279" s="10">
        <f t="shared" si="3"/>
        <v>5</v>
      </c>
    </row>
    <row r="280" ht="15.75" customHeight="1">
      <c r="A280" s="8">
        <v>43962.0</v>
      </c>
      <c r="B280" s="9">
        <v>5.0</v>
      </c>
      <c r="C280" s="9">
        <v>5094.0</v>
      </c>
      <c r="D280" s="10" t="s">
        <v>31</v>
      </c>
      <c r="E280" s="10" t="s">
        <v>17</v>
      </c>
      <c r="F280" s="10" t="s">
        <v>363</v>
      </c>
      <c r="G280" s="10">
        <f t="shared" si="1"/>
        <v>5094</v>
      </c>
      <c r="H280" s="9" t="str">
        <f t="shared" si="2"/>
        <v/>
      </c>
      <c r="I280" s="10">
        <f t="shared" si="3"/>
        <v>5</v>
      </c>
    </row>
    <row r="281" ht="15.75" customHeight="1">
      <c r="A281" s="8">
        <v>43962.0</v>
      </c>
      <c r="B281" s="9">
        <v>3.0</v>
      </c>
      <c r="C281" s="9">
        <v>6693.0</v>
      </c>
      <c r="D281" s="10" t="s">
        <v>31</v>
      </c>
      <c r="E281" s="10" t="s">
        <v>17</v>
      </c>
      <c r="F281" s="10" t="s">
        <v>364</v>
      </c>
      <c r="G281" s="10">
        <f t="shared" si="1"/>
        <v>6693</v>
      </c>
      <c r="H281" s="9" t="str">
        <f t="shared" si="2"/>
        <v/>
      </c>
      <c r="I281" s="10">
        <f t="shared" si="3"/>
        <v>5</v>
      </c>
    </row>
    <row r="282" ht="15.75" customHeight="1">
      <c r="A282" s="8">
        <v>43964.0</v>
      </c>
      <c r="B282" s="9">
        <v>5.0</v>
      </c>
      <c r="C282" s="9">
        <v>8106.0</v>
      </c>
      <c r="D282" s="10" t="s">
        <v>34</v>
      </c>
      <c r="E282" s="10" t="s">
        <v>17</v>
      </c>
      <c r="F282" s="10" t="s">
        <v>365</v>
      </c>
      <c r="G282" s="10">
        <f t="shared" si="1"/>
        <v>8106</v>
      </c>
      <c r="H282" s="9" t="str">
        <f t="shared" si="2"/>
        <v/>
      </c>
      <c r="I282" s="10">
        <f t="shared" si="3"/>
        <v>5</v>
      </c>
    </row>
    <row r="283" ht="15.75" customHeight="1">
      <c r="A283" s="8">
        <v>43964.0</v>
      </c>
      <c r="B283" s="9">
        <v>4.0</v>
      </c>
      <c r="C283" s="9">
        <v>5049.0</v>
      </c>
      <c r="D283" s="10" t="s">
        <v>15</v>
      </c>
      <c r="E283" s="10" t="s">
        <v>17</v>
      </c>
      <c r="F283" s="10" t="s">
        <v>366</v>
      </c>
      <c r="G283" s="10">
        <f t="shared" si="1"/>
        <v>5049</v>
      </c>
      <c r="H283" s="9" t="str">
        <f t="shared" si="2"/>
        <v/>
      </c>
      <c r="I283" s="10">
        <f t="shared" si="3"/>
        <v>5</v>
      </c>
    </row>
    <row r="284" ht="15.75" customHeight="1">
      <c r="A284" s="8">
        <v>43964.0</v>
      </c>
      <c r="B284" s="9">
        <v>8.0</v>
      </c>
      <c r="C284" s="9">
        <v>3861.0</v>
      </c>
      <c r="D284" s="10" t="s">
        <v>31</v>
      </c>
      <c r="E284" s="10" t="s">
        <v>29</v>
      </c>
      <c r="F284" s="10" t="s">
        <v>367</v>
      </c>
      <c r="G284" s="9" t="str">
        <f t="shared" si="1"/>
        <v/>
      </c>
      <c r="H284" s="9" t="str">
        <f t="shared" si="2"/>
        <v/>
      </c>
      <c r="I284" s="10">
        <f t="shared" si="3"/>
        <v>5</v>
      </c>
    </row>
    <row r="285" ht="15.75" customHeight="1">
      <c r="A285" s="8">
        <v>43965.0</v>
      </c>
      <c r="B285" s="9">
        <v>1.0</v>
      </c>
      <c r="C285" s="9">
        <v>700.0</v>
      </c>
      <c r="D285" s="10" t="s">
        <v>42</v>
      </c>
      <c r="E285" s="10" t="s">
        <v>17</v>
      </c>
      <c r="F285" s="10" t="s">
        <v>368</v>
      </c>
      <c r="G285" s="10">
        <f t="shared" si="1"/>
        <v>700</v>
      </c>
      <c r="H285" s="9" t="str">
        <f t="shared" si="2"/>
        <v/>
      </c>
      <c r="I285" s="10">
        <f t="shared" si="3"/>
        <v>5</v>
      </c>
    </row>
    <row r="286" ht="15.75" customHeight="1">
      <c r="A286" s="8">
        <v>43965.0</v>
      </c>
      <c r="B286" s="9">
        <v>6.0</v>
      </c>
      <c r="C286" s="9">
        <v>9455.0</v>
      </c>
      <c r="D286" s="10" t="s">
        <v>15</v>
      </c>
      <c r="E286" s="10" t="s">
        <v>17</v>
      </c>
      <c r="F286" s="10" t="s">
        <v>369</v>
      </c>
      <c r="G286" s="10">
        <f t="shared" si="1"/>
        <v>9455</v>
      </c>
      <c r="H286" s="9" t="str">
        <f t="shared" si="2"/>
        <v/>
      </c>
      <c r="I286" s="10">
        <f t="shared" si="3"/>
        <v>5</v>
      </c>
    </row>
    <row r="287" ht="15.75" customHeight="1">
      <c r="A287" s="8">
        <v>43965.0</v>
      </c>
      <c r="B287" s="9">
        <v>6.0</v>
      </c>
      <c r="C287" s="9">
        <v>2019.0</v>
      </c>
      <c r="D287" s="10" t="s">
        <v>31</v>
      </c>
      <c r="E287" s="10" t="s">
        <v>17</v>
      </c>
      <c r="F287" s="10" t="s">
        <v>370</v>
      </c>
      <c r="G287" s="10">
        <f t="shared" si="1"/>
        <v>2019</v>
      </c>
      <c r="H287" s="9" t="str">
        <f t="shared" si="2"/>
        <v/>
      </c>
      <c r="I287" s="10">
        <f t="shared" si="3"/>
        <v>5</v>
      </c>
    </row>
    <row r="288" ht="15.75" customHeight="1">
      <c r="A288" s="8">
        <v>43965.0</v>
      </c>
      <c r="B288" s="9">
        <v>10.0</v>
      </c>
      <c r="C288" s="9">
        <v>3792.0</v>
      </c>
      <c r="D288" s="10" t="s">
        <v>15</v>
      </c>
      <c r="E288" s="10" t="s">
        <v>17</v>
      </c>
      <c r="F288" s="10" t="s">
        <v>371</v>
      </c>
      <c r="G288" s="10">
        <f t="shared" si="1"/>
        <v>3792</v>
      </c>
      <c r="H288" s="9" t="str">
        <f t="shared" si="2"/>
        <v/>
      </c>
      <c r="I288" s="10">
        <f t="shared" si="3"/>
        <v>5</v>
      </c>
    </row>
    <row r="289" ht="15.75" customHeight="1">
      <c r="A289" s="8">
        <v>43966.0</v>
      </c>
      <c r="B289" s="9">
        <v>1.0</v>
      </c>
      <c r="C289" s="9">
        <v>6468.0</v>
      </c>
      <c r="D289" s="10" t="s">
        <v>15</v>
      </c>
      <c r="E289" s="10" t="s">
        <v>17</v>
      </c>
      <c r="F289" s="10" t="s">
        <v>372</v>
      </c>
      <c r="G289" s="10">
        <f t="shared" si="1"/>
        <v>6468</v>
      </c>
      <c r="H289" s="9" t="str">
        <f t="shared" si="2"/>
        <v/>
      </c>
      <c r="I289" s="10">
        <f t="shared" si="3"/>
        <v>5</v>
      </c>
    </row>
    <row r="290" ht="15.75" customHeight="1">
      <c r="A290" s="8">
        <v>43967.0</v>
      </c>
      <c r="B290" s="9">
        <v>4.0</v>
      </c>
      <c r="C290" s="9">
        <v>9743.0</v>
      </c>
      <c r="D290" s="10" t="s">
        <v>15</v>
      </c>
      <c r="E290" s="10" t="s">
        <v>29</v>
      </c>
      <c r="F290" s="10" t="s">
        <v>373</v>
      </c>
      <c r="G290" s="9" t="str">
        <f t="shared" si="1"/>
        <v/>
      </c>
      <c r="H290" s="10">
        <f t="shared" si="2"/>
        <v>9743</v>
      </c>
      <c r="I290" s="10">
        <f t="shared" si="3"/>
        <v>5</v>
      </c>
    </row>
    <row r="291" ht="15.75" customHeight="1">
      <c r="A291" s="8">
        <v>43967.0</v>
      </c>
      <c r="B291" s="9">
        <v>10.0</v>
      </c>
      <c r="C291" s="9">
        <v>2928.0</v>
      </c>
      <c r="D291" s="10" t="s">
        <v>15</v>
      </c>
      <c r="E291" s="10" t="s">
        <v>17</v>
      </c>
      <c r="F291" s="10" t="s">
        <v>374</v>
      </c>
      <c r="G291" s="10">
        <f t="shared" si="1"/>
        <v>2928</v>
      </c>
      <c r="H291" s="9" t="str">
        <f t="shared" si="2"/>
        <v/>
      </c>
      <c r="I291" s="10">
        <f t="shared" si="3"/>
        <v>5</v>
      </c>
    </row>
    <row r="292" ht="15.75" customHeight="1">
      <c r="A292" s="8">
        <v>43967.0</v>
      </c>
      <c r="B292" s="9">
        <v>5.0</v>
      </c>
      <c r="C292" s="9">
        <v>1836.0</v>
      </c>
      <c r="D292" s="10" t="s">
        <v>15</v>
      </c>
      <c r="E292" s="10" t="s">
        <v>17</v>
      </c>
      <c r="F292" s="10" t="s">
        <v>375</v>
      </c>
      <c r="G292" s="10">
        <f t="shared" si="1"/>
        <v>1836</v>
      </c>
      <c r="H292" s="9" t="str">
        <f t="shared" si="2"/>
        <v/>
      </c>
      <c r="I292" s="10">
        <f t="shared" si="3"/>
        <v>5</v>
      </c>
    </row>
    <row r="293" ht="15.75" customHeight="1">
      <c r="A293" s="8">
        <v>43967.0</v>
      </c>
      <c r="B293" s="9">
        <v>9.0</v>
      </c>
      <c r="C293" s="9">
        <v>259.0</v>
      </c>
      <c r="D293" s="10" t="s">
        <v>15</v>
      </c>
      <c r="E293" s="10" t="s">
        <v>17</v>
      </c>
      <c r="F293" s="10" t="s">
        <v>376</v>
      </c>
      <c r="G293" s="10">
        <f t="shared" si="1"/>
        <v>259</v>
      </c>
      <c r="H293" s="9" t="str">
        <f t="shared" si="2"/>
        <v/>
      </c>
      <c r="I293" s="10">
        <f t="shared" si="3"/>
        <v>5</v>
      </c>
    </row>
    <row r="294" ht="15.75" customHeight="1">
      <c r="A294" s="8">
        <v>43967.0</v>
      </c>
      <c r="B294" s="9">
        <v>4.0</v>
      </c>
      <c r="C294" s="9">
        <v>5782.0</v>
      </c>
      <c r="D294" s="10" t="s">
        <v>31</v>
      </c>
      <c r="E294" s="10" t="s">
        <v>29</v>
      </c>
      <c r="F294" s="10" t="s">
        <v>377</v>
      </c>
      <c r="G294" s="9" t="str">
        <f t="shared" si="1"/>
        <v/>
      </c>
      <c r="H294" s="9" t="str">
        <f t="shared" si="2"/>
        <v/>
      </c>
      <c r="I294" s="10">
        <f t="shared" si="3"/>
        <v>5</v>
      </c>
    </row>
    <row r="295" ht="15.75" customHeight="1">
      <c r="A295" s="8">
        <v>43968.0</v>
      </c>
      <c r="B295" s="9">
        <v>2.0</v>
      </c>
      <c r="C295" s="9">
        <v>6722.0</v>
      </c>
      <c r="D295" s="10" t="s">
        <v>34</v>
      </c>
      <c r="E295" s="10" t="s">
        <v>29</v>
      </c>
      <c r="F295" s="10" t="s">
        <v>378</v>
      </c>
      <c r="G295" s="9" t="str">
        <f t="shared" si="1"/>
        <v/>
      </c>
      <c r="H295" s="9" t="str">
        <f t="shared" si="2"/>
        <v/>
      </c>
      <c r="I295" s="10">
        <f t="shared" si="3"/>
        <v>5</v>
      </c>
    </row>
    <row r="296" ht="15.75" customHeight="1">
      <c r="A296" s="8">
        <v>43968.0</v>
      </c>
      <c r="B296" s="9">
        <v>4.0</v>
      </c>
      <c r="C296" s="9">
        <v>5595.0</v>
      </c>
      <c r="D296" s="10" t="s">
        <v>95</v>
      </c>
      <c r="E296" s="10" t="s">
        <v>17</v>
      </c>
      <c r="F296" s="10" t="s">
        <v>379</v>
      </c>
      <c r="G296" s="10">
        <f t="shared" si="1"/>
        <v>5595</v>
      </c>
      <c r="H296" s="9" t="str">
        <f t="shared" si="2"/>
        <v/>
      </c>
      <c r="I296" s="10">
        <f t="shared" si="3"/>
        <v>5</v>
      </c>
    </row>
    <row r="297" ht="15.75" customHeight="1">
      <c r="A297" s="8">
        <v>43968.0</v>
      </c>
      <c r="B297" s="9">
        <v>1.0</v>
      </c>
      <c r="C297" s="9">
        <v>5354.0</v>
      </c>
      <c r="D297" s="10" t="s">
        <v>31</v>
      </c>
      <c r="E297" s="10" t="s">
        <v>17</v>
      </c>
      <c r="F297" s="10" t="s">
        <v>380</v>
      </c>
      <c r="G297" s="10">
        <f t="shared" si="1"/>
        <v>5354</v>
      </c>
      <c r="H297" s="9" t="str">
        <f t="shared" si="2"/>
        <v/>
      </c>
      <c r="I297" s="10">
        <f t="shared" si="3"/>
        <v>5</v>
      </c>
    </row>
    <row r="298" ht="15.75" customHeight="1">
      <c r="A298" s="8">
        <v>43968.0</v>
      </c>
      <c r="B298" s="9">
        <v>3.0</v>
      </c>
      <c r="C298" s="9">
        <v>7834.0</v>
      </c>
      <c r="D298" s="10" t="s">
        <v>15</v>
      </c>
      <c r="E298" s="10" t="s">
        <v>17</v>
      </c>
      <c r="F298" s="10" t="s">
        <v>381</v>
      </c>
      <c r="G298" s="10">
        <f t="shared" si="1"/>
        <v>7834</v>
      </c>
      <c r="H298" s="9" t="str">
        <f t="shared" si="2"/>
        <v/>
      </c>
      <c r="I298" s="10">
        <f t="shared" si="3"/>
        <v>5</v>
      </c>
    </row>
    <row r="299" ht="15.75" customHeight="1">
      <c r="A299" s="8">
        <v>43968.0</v>
      </c>
      <c r="B299" s="9">
        <v>7.0</v>
      </c>
      <c r="C299" s="9">
        <v>2865.0</v>
      </c>
      <c r="D299" s="10" t="s">
        <v>95</v>
      </c>
      <c r="E299" s="10" t="s">
        <v>17</v>
      </c>
      <c r="F299" s="10" t="s">
        <v>382</v>
      </c>
      <c r="G299" s="10">
        <f t="shared" si="1"/>
        <v>2865</v>
      </c>
      <c r="H299" s="9" t="str">
        <f t="shared" si="2"/>
        <v/>
      </c>
      <c r="I299" s="10">
        <f t="shared" si="3"/>
        <v>5</v>
      </c>
    </row>
    <row r="300" ht="15.75" customHeight="1">
      <c r="A300" s="8">
        <v>43968.0</v>
      </c>
      <c r="B300" s="9">
        <v>7.0</v>
      </c>
      <c r="C300" s="9">
        <v>6396.0</v>
      </c>
      <c r="D300" s="10" t="s">
        <v>95</v>
      </c>
      <c r="E300" s="10" t="s">
        <v>29</v>
      </c>
      <c r="F300" s="10" t="s">
        <v>383</v>
      </c>
      <c r="G300" s="9" t="str">
        <f t="shared" si="1"/>
        <v/>
      </c>
      <c r="H300" s="9" t="str">
        <f t="shared" si="2"/>
        <v/>
      </c>
      <c r="I300" s="10">
        <f t="shared" si="3"/>
        <v>5</v>
      </c>
    </row>
    <row r="301" ht="15.75" customHeight="1">
      <c r="A301" s="8">
        <v>43969.0</v>
      </c>
      <c r="B301" s="9">
        <v>3.0</v>
      </c>
      <c r="C301" s="9">
        <v>4577.0</v>
      </c>
      <c r="D301" s="10" t="s">
        <v>34</v>
      </c>
      <c r="E301" s="10" t="s">
        <v>17</v>
      </c>
      <c r="F301" s="10" t="s">
        <v>384</v>
      </c>
      <c r="G301" s="10">
        <f t="shared" si="1"/>
        <v>4577</v>
      </c>
      <c r="H301" s="9" t="str">
        <f t="shared" si="2"/>
        <v/>
      </c>
      <c r="I301" s="10">
        <f t="shared" si="3"/>
        <v>5</v>
      </c>
    </row>
    <row r="302" ht="15.75" customHeight="1">
      <c r="A302" s="8">
        <v>43969.0</v>
      </c>
      <c r="B302" s="9">
        <v>2.0</v>
      </c>
      <c r="C302" s="9">
        <v>4553.0</v>
      </c>
      <c r="D302" s="10" t="s">
        <v>15</v>
      </c>
      <c r="E302" s="10" t="s">
        <v>29</v>
      </c>
      <c r="F302" s="10" t="s">
        <v>385</v>
      </c>
      <c r="G302" s="9" t="str">
        <f t="shared" si="1"/>
        <v/>
      </c>
      <c r="H302" s="10">
        <f t="shared" si="2"/>
        <v>4553</v>
      </c>
      <c r="I302" s="10">
        <f t="shared" si="3"/>
        <v>5</v>
      </c>
    </row>
    <row r="303" ht="15.75" customHeight="1">
      <c r="A303" s="8">
        <v>43969.0</v>
      </c>
      <c r="B303" s="9">
        <v>6.0</v>
      </c>
      <c r="C303" s="9">
        <v>8983.0</v>
      </c>
      <c r="D303" s="10" t="s">
        <v>15</v>
      </c>
      <c r="E303" s="10" t="s">
        <v>29</v>
      </c>
      <c r="F303" s="10" t="s">
        <v>386</v>
      </c>
      <c r="G303" s="9" t="str">
        <f t="shared" si="1"/>
        <v/>
      </c>
      <c r="H303" s="10">
        <f t="shared" si="2"/>
        <v>8983</v>
      </c>
      <c r="I303" s="10">
        <f t="shared" si="3"/>
        <v>5</v>
      </c>
    </row>
    <row r="304" ht="15.75" customHeight="1">
      <c r="A304" s="8">
        <v>43969.0</v>
      </c>
      <c r="B304" s="9">
        <v>1.0</v>
      </c>
      <c r="C304" s="9">
        <v>1350.0</v>
      </c>
      <c r="D304" s="10" t="s">
        <v>15</v>
      </c>
      <c r="E304" s="10" t="s">
        <v>17</v>
      </c>
      <c r="F304" s="10" t="s">
        <v>387</v>
      </c>
      <c r="G304" s="10">
        <f t="shared" si="1"/>
        <v>1350</v>
      </c>
      <c r="H304" s="9" t="str">
        <f t="shared" si="2"/>
        <v/>
      </c>
      <c r="I304" s="10">
        <f t="shared" si="3"/>
        <v>5</v>
      </c>
    </row>
    <row r="305" ht="15.75" customHeight="1">
      <c r="A305" s="8">
        <v>43970.0</v>
      </c>
      <c r="B305" s="9">
        <v>9.0</v>
      </c>
      <c r="C305" s="9">
        <v>6999.0</v>
      </c>
      <c r="D305" s="10" t="s">
        <v>15</v>
      </c>
      <c r="E305" s="10" t="s">
        <v>29</v>
      </c>
      <c r="F305" s="10" t="s">
        <v>388</v>
      </c>
      <c r="G305" s="9" t="str">
        <f t="shared" si="1"/>
        <v/>
      </c>
      <c r="H305" s="10">
        <f t="shared" si="2"/>
        <v>6999</v>
      </c>
      <c r="I305" s="10">
        <f t="shared" si="3"/>
        <v>5</v>
      </c>
    </row>
    <row r="306" ht="15.75" customHeight="1">
      <c r="A306" s="8">
        <v>43971.0</v>
      </c>
      <c r="B306" s="9">
        <v>5.0</v>
      </c>
      <c r="C306" s="9">
        <v>5577.0</v>
      </c>
      <c r="D306" s="10" t="s">
        <v>15</v>
      </c>
      <c r="E306" s="10" t="s">
        <v>29</v>
      </c>
      <c r="F306" s="10" t="s">
        <v>389</v>
      </c>
      <c r="G306" s="9" t="str">
        <f t="shared" si="1"/>
        <v/>
      </c>
      <c r="H306" s="10">
        <f t="shared" si="2"/>
        <v>5577</v>
      </c>
      <c r="I306" s="10">
        <f t="shared" si="3"/>
        <v>5</v>
      </c>
    </row>
    <row r="307" ht="15.75" customHeight="1">
      <c r="A307" s="8">
        <v>43971.0</v>
      </c>
      <c r="B307" s="9">
        <v>4.0</v>
      </c>
      <c r="C307" s="9">
        <v>5312.0</v>
      </c>
      <c r="D307" s="10" t="s">
        <v>15</v>
      </c>
      <c r="E307" s="10" t="s">
        <v>17</v>
      </c>
      <c r="F307" s="10" t="s">
        <v>390</v>
      </c>
      <c r="G307" s="10">
        <f t="shared" si="1"/>
        <v>5312</v>
      </c>
      <c r="H307" s="9" t="str">
        <f t="shared" si="2"/>
        <v/>
      </c>
      <c r="I307" s="10">
        <f t="shared" si="3"/>
        <v>5</v>
      </c>
    </row>
    <row r="308" ht="15.75" customHeight="1">
      <c r="A308" s="8">
        <v>43972.0</v>
      </c>
      <c r="B308" s="9">
        <v>9.0</v>
      </c>
      <c r="C308" s="9">
        <v>4389.0</v>
      </c>
      <c r="D308" s="10" t="s">
        <v>15</v>
      </c>
      <c r="E308" s="10" t="s">
        <v>17</v>
      </c>
      <c r="F308" s="10" t="s">
        <v>391</v>
      </c>
      <c r="G308" s="10">
        <f t="shared" si="1"/>
        <v>4389</v>
      </c>
      <c r="H308" s="9" t="str">
        <f t="shared" si="2"/>
        <v/>
      </c>
      <c r="I308" s="10">
        <f t="shared" si="3"/>
        <v>5</v>
      </c>
    </row>
    <row r="309" ht="15.75" customHeight="1">
      <c r="A309" s="8">
        <v>43973.0</v>
      </c>
      <c r="B309" s="9">
        <v>5.0</v>
      </c>
      <c r="C309" s="9">
        <v>8189.0</v>
      </c>
      <c r="D309" s="10" t="s">
        <v>31</v>
      </c>
      <c r="E309" s="10" t="s">
        <v>17</v>
      </c>
      <c r="F309" s="10" t="s">
        <v>392</v>
      </c>
      <c r="G309" s="10">
        <f t="shared" si="1"/>
        <v>8189</v>
      </c>
      <c r="H309" s="9" t="str">
        <f t="shared" si="2"/>
        <v/>
      </c>
      <c r="I309" s="10">
        <f t="shared" si="3"/>
        <v>5</v>
      </c>
    </row>
    <row r="310" ht="15.75" customHeight="1">
      <c r="A310" s="8">
        <v>43974.0</v>
      </c>
      <c r="B310" s="9">
        <v>1.0</v>
      </c>
      <c r="C310" s="9">
        <v>2941.0</v>
      </c>
      <c r="D310" s="10" t="s">
        <v>15</v>
      </c>
      <c r="E310" s="10" t="s">
        <v>17</v>
      </c>
      <c r="F310" s="10" t="s">
        <v>393</v>
      </c>
      <c r="G310" s="10">
        <f t="shared" si="1"/>
        <v>2941</v>
      </c>
      <c r="H310" s="9" t="str">
        <f t="shared" si="2"/>
        <v/>
      </c>
      <c r="I310" s="10">
        <f t="shared" si="3"/>
        <v>5</v>
      </c>
    </row>
    <row r="311" ht="15.75" customHeight="1">
      <c r="A311" s="8">
        <v>43974.0</v>
      </c>
      <c r="B311" s="9">
        <v>9.0</v>
      </c>
      <c r="C311" s="9">
        <v>5683.0</v>
      </c>
      <c r="D311" s="10" t="s">
        <v>15</v>
      </c>
      <c r="E311" s="10" t="s">
        <v>17</v>
      </c>
      <c r="F311" s="10" t="s">
        <v>394</v>
      </c>
      <c r="G311" s="10">
        <f t="shared" si="1"/>
        <v>5683</v>
      </c>
      <c r="H311" s="9" t="str">
        <f t="shared" si="2"/>
        <v/>
      </c>
      <c r="I311" s="10">
        <f t="shared" si="3"/>
        <v>5</v>
      </c>
    </row>
    <row r="312" ht="15.75" customHeight="1">
      <c r="A312" s="8">
        <v>43974.0</v>
      </c>
      <c r="B312" s="9">
        <v>3.0</v>
      </c>
      <c r="C312" s="9">
        <v>6278.0</v>
      </c>
      <c r="D312" s="10" t="s">
        <v>95</v>
      </c>
      <c r="E312" s="10" t="s">
        <v>17</v>
      </c>
      <c r="F312" s="10" t="s">
        <v>395</v>
      </c>
      <c r="G312" s="10">
        <f t="shared" si="1"/>
        <v>6278</v>
      </c>
      <c r="H312" s="9" t="str">
        <f t="shared" si="2"/>
        <v/>
      </c>
      <c r="I312" s="10">
        <f t="shared" si="3"/>
        <v>5</v>
      </c>
    </row>
    <row r="313" ht="15.75" customHeight="1">
      <c r="A313" s="8">
        <v>43975.0</v>
      </c>
      <c r="B313" s="9">
        <v>10.0</v>
      </c>
      <c r="C313" s="9">
        <v>5431.0</v>
      </c>
      <c r="D313" s="10" t="s">
        <v>15</v>
      </c>
      <c r="E313" s="10" t="s">
        <v>17</v>
      </c>
      <c r="F313" s="10" t="s">
        <v>396</v>
      </c>
      <c r="G313" s="10">
        <f t="shared" si="1"/>
        <v>5431</v>
      </c>
      <c r="H313" s="9" t="str">
        <f t="shared" si="2"/>
        <v/>
      </c>
      <c r="I313" s="10">
        <f t="shared" si="3"/>
        <v>5</v>
      </c>
    </row>
    <row r="314" ht="15.75" customHeight="1">
      <c r="A314" s="8">
        <v>43975.0</v>
      </c>
      <c r="B314" s="9">
        <v>3.0</v>
      </c>
      <c r="C314" s="9">
        <v>5852.0</v>
      </c>
      <c r="D314" s="10" t="s">
        <v>15</v>
      </c>
      <c r="E314" s="10" t="s">
        <v>17</v>
      </c>
      <c r="F314" s="10" t="s">
        <v>397</v>
      </c>
      <c r="G314" s="10">
        <f t="shared" si="1"/>
        <v>5852</v>
      </c>
      <c r="H314" s="9" t="str">
        <f t="shared" si="2"/>
        <v/>
      </c>
      <c r="I314" s="10">
        <f t="shared" si="3"/>
        <v>5</v>
      </c>
    </row>
    <row r="315" ht="15.75" customHeight="1">
      <c r="A315" s="8">
        <v>43975.0</v>
      </c>
      <c r="B315" s="9">
        <v>5.0</v>
      </c>
      <c r="C315" s="9">
        <v>421.0</v>
      </c>
      <c r="D315" s="10" t="s">
        <v>42</v>
      </c>
      <c r="E315" s="10" t="s">
        <v>17</v>
      </c>
      <c r="F315" s="10" t="s">
        <v>398</v>
      </c>
      <c r="G315" s="10">
        <f t="shared" si="1"/>
        <v>421</v>
      </c>
      <c r="H315" s="9" t="str">
        <f t="shared" si="2"/>
        <v/>
      </c>
      <c r="I315" s="10">
        <f t="shared" si="3"/>
        <v>5</v>
      </c>
    </row>
    <row r="316" ht="15.75" customHeight="1">
      <c r="A316" s="8">
        <v>43976.0</v>
      </c>
      <c r="B316" s="9">
        <v>5.0</v>
      </c>
      <c r="C316" s="9">
        <v>861.0</v>
      </c>
      <c r="D316" s="10" t="s">
        <v>15</v>
      </c>
      <c r="E316" s="10" t="s">
        <v>17</v>
      </c>
      <c r="F316" s="10" t="s">
        <v>399</v>
      </c>
      <c r="G316" s="10">
        <f t="shared" si="1"/>
        <v>861</v>
      </c>
      <c r="H316" s="9" t="str">
        <f t="shared" si="2"/>
        <v/>
      </c>
      <c r="I316" s="10">
        <f t="shared" si="3"/>
        <v>5</v>
      </c>
    </row>
    <row r="317" ht="15.75" customHeight="1">
      <c r="A317" s="8">
        <v>43976.0</v>
      </c>
      <c r="B317" s="9">
        <v>5.0</v>
      </c>
      <c r="C317" s="9">
        <v>3739.0</v>
      </c>
      <c r="D317" s="10" t="s">
        <v>15</v>
      </c>
      <c r="E317" s="10" t="s">
        <v>17</v>
      </c>
      <c r="F317" s="10" t="s">
        <v>400</v>
      </c>
      <c r="G317" s="10">
        <f t="shared" si="1"/>
        <v>3739</v>
      </c>
      <c r="H317" s="9" t="str">
        <f t="shared" si="2"/>
        <v/>
      </c>
      <c r="I317" s="10">
        <f t="shared" si="3"/>
        <v>5</v>
      </c>
    </row>
    <row r="318" ht="15.75" customHeight="1">
      <c r="A318" s="8">
        <v>43977.0</v>
      </c>
      <c r="B318" s="9">
        <v>5.0</v>
      </c>
      <c r="C318" s="9">
        <v>4768.0</v>
      </c>
      <c r="D318" s="10" t="s">
        <v>15</v>
      </c>
      <c r="E318" s="10" t="s">
        <v>17</v>
      </c>
      <c r="F318" s="10" t="s">
        <v>401</v>
      </c>
      <c r="G318" s="10">
        <f t="shared" si="1"/>
        <v>4768</v>
      </c>
      <c r="H318" s="9" t="str">
        <f t="shared" si="2"/>
        <v/>
      </c>
      <c r="I318" s="10">
        <f t="shared" si="3"/>
        <v>5</v>
      </c>
    </row>
    <row r="319" ht="15.75" customHeight="1">
      <c r="A319" s="8">
        <v>43977.0</v>
      </c>
      <c r="B319" s="9">
        <v>2.0</v>
      </c>
      <c r="C319" s="9">
        <v>3364.0</v>
      </c>
      <c r="D319" s="10" t="s">
        <v>15</v>
      </c>
      <c r="E319" s="10" t="s">
        <v>17</v>
      </c>
      <c r="F319" s="10" t="s">
        <v>402</v>
      </c>
      <c r="G319" s="10">
        <f t="shared" si="1"/>
        <v>3364</v>
      </c>
      <c r="H319" s="9" t="str">
        <f t="shared" si="2"/>
        <v/>
      </c>
      <c r="I319" s="10">
        <f t="shared" si="3"/>
        <v>5</v>
      </c>
    </row>
    <row r="320" ht="15.75" customHeight="1">
      <c r="A320" s="8">
        <v>43978.0</v>
      </c>
      <c r="B320" s="9">
        <v>6.0</v>
      </c>
      <c r="C320" s="9">
        <v>296.0</v>
      </c>
      <c r="D320" s="10" t="s">
        <v>15</v>
      </c>
      <c r="E320" s="10" t="s">
        <v>17</v>
      </c>
      <c r="F320" s="10" t="s">
        <v>403</v>
      </c>
      <c r="G320" s="10">
        <f t="shared" si="1"/>
        <v>296</v>
      </c>
      <c r="H320" s="9" t="str">
        <f t="shared" si="2"/>
        <v/>
      </c>
      <c r="I320" s="10">
        <f t="shared" si="3"/>
        <v>5</v>
      </c>
    </row>
    <row r="321" ht="15.75" customHeight="1">
      <c r="A321" s="8">
        <v>43978.0</v>
      </c>
      <c r="B321" s="9">
        <v>6.0</v>
      </c>
      <c r="C321" s="9">
        <v>6647.0</v>
      </c>
      <c r="D321" s="10" t="s">
        <v>15</v>
      </c>
      <c r="E321" s="10" t="s">
        <v>17</v>
      </c>
      <c r="F321" s="10" t="s">
        <v>404</v>
      </c>
      <c r="G321" s="10">
        <f t="shared" si="1"/>
        <v>6647</v>
      </c>
      <c r="H321" s="9" t="str">
        <f t="shared" si="2"/>
        <v/>
      </c>
      <c r="I321" s="10">
        <f t="shared" si="3"/>
        <v>5</v>
      </c>
    </row>
    <row r="322" ht="15.75" customHeight="1">
      <c r="A322" s="8">
        <v>43979.0</v>
      </c>
      <c r="B322" s="9">
        <v>3.0</v>
      </c>
      <c r="C322" s="9">
        <v>9566.0</v>
      </c>
      <c r="D322" s="10" t="s">
        <v>15</v>
      </c>
      <c r="E322" s="10" t="s">
        <v>29</v>
      </c>
      <c r="F322" s="10" t="s">
        <v>405</v>
      </c>
      <c r="G322" s="9" t="str">
        <f t="shared" si="1"/>
        <v/>
      </c>
      <c r="H322" s="10">
        <f t="shared" si="2"/>
        <v>9566</v>
      </c>
      <c r="I322" s="10">
        <f t="shared" si="3"/>
        <v>5</v>
      </c>
    </row>
    <row r="323" ht="15.75" customHeight="1">
      <c r="A323" s="8">
        <v>43979.0</v>
      </c>
      <c r="B323" s="9">
        <v>5.0</v>
      </c>
      <c r="C323" s="9">
        <v>9613.0</v>
      </c>
      <c r="D323" s="10" t="s">
        <v>15</v>
      </c>
      <c r="E323" s="10" t="s">
        <v>17</v>
      </c>
      <c r="F323" s="10" t="s">
        <v>406</v>
      </c>
      <c r="G323" s="10">
        <f t="shared" si="1"/>
        <v>9613</v>
      </c>
      <c r="H323" s="9" t="str">
        <f t="shared" si="2"/>
        <v/>
      </c>
      <c r="I323" s="10">
        <f t="shared" si="3"/>
        <v>5</v>
      </c>
    </row>
    <row r="324" ht="15.75" customHeight="1">
      <c r="A324" s="8">
        <v>43979.0</v>
      </c>
      <c r="B324" s="9">
        <v>9.0</v>
      </c>
      <c r="C324" s="9">
        <v>7610.0</v>
      </c>
      <c r="D324" s="10" t="s">
        <v>31</v>
      </c>
      <c r="E324" s="10" t="s">
        <v>17</v>
      </c>
      <c r="F324" s="10" t="s">
        <v>407</v>
      </c>
      <c r="G324" s="10">
        <f t="shared" si="1"/>
        <v>7610</v>
      </c>
      <c r="H324" s="9" t="str">
        <f t="shared" si="2"/>
        <v/>
      </c>
      <c r="I324" s="10">
        <f t="shared" si="3"/>
        <v>5</v>
      </c>
    </row>
    <row r="325" ht="15.75" customHeight="1">
      <c r="A325" s="8">
        <v>43980.0</v>
      </c>
      <c r="B325" s="9">
        <v>7.0</v>
      </c>
      <c r="C325" s="9">
        <v>3575.0</v>
      </c>
      <c r="D325" s="10" t="s">
        <v>15</v>
      </c>
      <c r="E325" s="10" t="s">
        <v>17</v>
      </c>
      <c r="F325" s="10" t="s">
        <v>408</v>
      </c>
      <c r="G325" s="10">
        <f t="shared" si="1"/>
        <v>3575</v>
      </c>
      <c r="H325" s="9" t="str">
        <f t="shared" si="2"/>
        <v/>
      </c>
      <c r="I325" s="10">
        <f t="shared" si="3"/>
        <v>5</v>
      </c>
    </row>
    <row r="326" ht="15.75" customHeight="1">
      <c r="A326" s="8">
        <v>43981.0</v>
      </c>
      <c r="B326" s="9">
        <v>7.0</v>
      </c>
      <c r="C326" s="9">
        <v>1400.0</v>
      </c>
      <c r="D326" s="10" t="s">
        <v>95</v>
      </c>
      <c r="E326" s="10" t="s">
        <v>17</v>
      </c>
      <c r="F326" s="10" t="s">
        <v>409</v>
      </c>
      <c r="G326" s="10">
        <f t="shared" si="1"/>
        <v>1400</v>
      </c>
      <c r="H326" s="9" t="str">
        <f t="shared" si="2"/>
        <v/>
      </c>
      <c r="I326" s="10">
        <f t="shared" si="3"/>
        <v>5</v>
      </c>
    </row>
    <row r="327" ht="15.75" customHeight="1">
      <c r="A327" s="8">
        <v>43981.0</v>
      </c>
      <c r="B327" s="9">
        <v>8.0</v>
      </c>
      <c r="C327" s="9">
        <v>6260.0</v>
      </c>
      <c r="D327" s="10" t="s">
        <v>34</v>
      </c>
      <c r="E327" s="10" t="s">
        <v>17</v>
      </c>
      <c r="F327" s="10" t="s">
        <v>410</v>
      </c>
      <c r="G327" s="10">
        <f t="shared" si="1"/>
        <v>6260</v>
      </c>
      <c r="H327" s="9" t="str">
        <f t="shared" si="2"/>
        <v/>
      </c>
      <c r="I327" s="10">
        <f t="shared" si="3"/>
        <v>5</v>
      </c>
    </row>
    <row r="328" ht="15.75" customHeight="1">
      <c r="A328" s="8">
        <v>43983.0</v>
      </c>
      <c r="B328" s="9">
        <v>2.0</v>
      </c>
      <c r="C328" s="9">
        <v>5620.0</v>
      </c>
      <c r="D328" s="10" t="s">
        <v>31</v>
      </c>
      <c r="E328" s="10" t="s">
        <v>17</v>
      </c>
      <c r="F328" s="10" t="s">
        <v>411</v>
      </c>
      <c r="G328" s="10">
        <f t="shared" si="1"/>
        <v>5620</v>
      </c>
      <c r="H328" s="9" t="str">
        <f t="shared" si="2"/>
        <v/>
      </c>
      <c r="I328" s="10">
        <f t="shared" si="3"/>
        <v>6</v>
      </c>
    </row>
    <row r="329" ht="15.75" customHeight="1">
      <c r="A329" s="8">
        <v>43983.0</v>
      </c>
      <c r="B329" s="9">
        <v>9.0</v>
      </c>
      <c r="C329" s="9">
        <v>1050.0</v>
      </c>
      <c r="D329" s="10" t="s">
        <v>34</v>
      </c>
      <c r="E329" s="10" t="s">
        <v>17</v>
      </c>
      <c r="F329" s="10" t="s">
        <v>412</v>
      </c>
      <c r="G329" s="10">
        <f t="shared" si="1"/>
        <v>1050</v>
      </c>
      <c r="H329" s="9" t="str">
        <f t="shared" si="2"/>
        <v/>
      </c>
      <c r="I329" s="10">
        <f t="shared" si="3"/>
        <v>6</v>
      </c>
    </row>
    <row r="330" ht="15.75" customHeight="1">
      <c r="A330" s="8">
        <v>43983.0</v>
      </c>
      <c r="B330" s="9">
        <v>3.0</v>
      </c>
      <c r="C330" s="9">
        <v>7453.0</v>
      </c>
      <c r="D330" s="10" t="s">
        <v>31</v>
      </c>
      <c r="E330" s="10" t="s">
        <v>29</v>
      </c>
      <c r="F330" s="10" t="s">
        <v>413</v>
      </c>
      <c r="G330" s="9" t="str">
        <f t="shared" si="1"/>
        <v/>
      </c>
      <c r="H330" s="9" t="str">
        <f t="shared" si="2"/>
        <v/>
      </c>
      <c r="I330" s="10">
        <f t="shared" si="3"/>
        <v>6</v>
      </c>
    </row>
    <row r="331" ht="15.75" customHeight="1">
      <c r="A331" s="8">
        <v>43983.0</v>
      </c>
      <c r="B331" s="9">
        <v>6.0</v>
      </c>
      <c r="C331" s="9">
        <v>9490.0</v>
      </c>
      <c r="D331" s="10" t="s">
        <v>34</v>
      </c>
      <c r="E331" s="10" t="s">
        <v>17</v>
      </c>
      <c r="F331" s="10" t="s">
        <v>414</v>
      </c>
      <c r="G331" s="10">
        <f t="shared" si="1"/>
        <v>9490</v>
      </c>
      <c r="H331" s="9" t="str">
        <f t="shared" si="2"/>
        <v/>
      </c>
      <c r="I331" s="10">
        <f t="shared" si="3"/>
        <v>6</v>
      </c>
    </row>
    <row r="332" ht="15.75" customHeight="1">
      <c r="A332" s="8">
        <v>43984.0</v>
      </c>
      <c r="B332" s="9">
        <v>8.0</v>
      </c>
      <c r="C332" s="9">
        <v>9847.0</v>
      </c>
      <c r="D332" s="10" t="s">
        <v>34</v>
      </c>
      <c r="E332" s="10" t="s">
        <v>17</v>
      </c>
      <c r="F332" s="10" t="s">
        <v>415</v>
      </c>
      <c r="G332" s="10">
        <f t="shared" si="1"/>
        <v>9847</v>
      </c>
      <c r="H332" s="9" t="str">
        <f t="shared" si="2"/>
        <v/>
      </c>
      <c r="I332" s="10">
        <f t="shared" si="3"/>
        <v>6</v>
      </c>
    </row>
    <row r="333" ht="15.75" customHeight="1">
      <c r="A333" s="8">
        <v>43985.0</v>
      </c>
      <c r="B333" s="9">
        <v>10.0</v>
      </c>
      <c r="C333" s="9">
        <v>2468.0</v>
      </c>
      <c r="D333" s="10" t="s">
        <v>15</v>
      </c>
      <c r="E333" s="10" t="s">
        <v>17</v>
      </c>
      <c r="F333" s="10" t="s">
        <v>416</v>
      </c>
      <c r="G333" s="10">
        <f t="shared" si="1"/>
        <v>2468</v>
      </c>
      <c r="H333" s="9" t="str">
        <f t="shared" si="2"/>
        <v/>
      </c>
      <c r="I333" s="10">
        <f t="shared" si="3"/>
        <v>6</v>
      </c>
    </row>
    <row r="334" ht="15.75" customHeight="1">
      <c r="A334" s="8">
        <v>43986.0</v>
      </c>
      <c r="B334" s="9">
        <v>9.0</v>
      </c>
      <c r="C334" s="9">
        <v>9305.0</v>
      </c>
      <c r="D334" s="10" t="s">
        <v>34</v>
      </c>
      <c r="E334" s="10" t="s">
        <v>17</v>
      </c>
      <c r="F334" s="10" t="s">
        <v>417</v>
      </c>
      <c r="G334" s="10">
        <f t="shared" si="1"/>
        <v>9305</v>
      </c>
      <c r="H334" s="9" t="str">
        <f t="shared" si="2"/>
        <v/>
      </c>
      <c r="I334" s="10">
        <f t="shared" si="3"/>
        <v>6</v>
      </c>
    </row>
    <row r="335" ht="15.75" customHeight="1">
      <c r="A335" s="8">
        <v>43988.0</v>
      </c>
      <c r="B335" s="9">
        <v>4.0</v>
      </c>
      <c r="C335" s="9">
        <v>8090.0</v>
      </c>
      <c r="D335" s="10" t="s">
        <v>34</v>
      </c>
      <c r="E335" s="10" t="s">
        <v>17</v>
      </c>
      <c r="F335" s="10" t="s">
        <v>418</v>
      </c>
      <c r="G335" s="10">
        <f t="shared" si="1"/>
        <v>8090</v>
      </c>
      <c r="H335" s="9" t="str">
        <f t="shared" si="2"/>
        <v/>
      </c>
      <c r="I335" s="10">
        <f t="shared" si="3"/>
        <v>6</v>
      </c>
    </row>
    <row r="336" ht="15.75" customHeight="1">
      <c r="A336" s="8">
        <v>43988.0</v>
      </c>
      <c r="B336" s="9">
        <v>3.0</v>
      </c>
      <c r="C336" s="9">
        <v>2487.0</v>
      </c>
      <c r="D336" s="10" t="s">
        <v>34</v>
      </c>
      <c r="E336" s="10" t="s">
        <v>17</v>
      </c>
      <c r="F336" s="10" t="s">
        <v>419</v>
      </c>
      <c r="G336" s="10">
        <f t="shared" si="1"/>
        <v>2487</v>
      </c>
      <c r="H336" s="9" t="str">
        <f t="shared" si="2"/>
        <v/>
      </c>
      <c r="I336" s="10">
        <f t="shared" si="3"/>
        <v>6</v>
      </c>
    </row>
    <row r="337" ht="15.75" customHeight="1">
      <c r="A337" s="8">
        <v>43988.0</v>
      </c>
      <c r="B337" s="9">
        <v>10.0</v>
      </c>
      <c r="C337" s="9">
        <v>327.0</v>
      </c>
      <c r="D337" s="10" t="s">
        <v>34</v>
      </c>
      <c r="E337" s="10" t="s">
        <v>17</v>
      </c>
      <c r="F337" s="10" t="s">
        <v>420</v>
      </c>
      <c r="G337" s="10">
        <f t="shared" si="1"/>
        <v>327</v>
      </c>
      <c r="H337" s="9" t="str">
        <f t="shared" si="2"/>
        <v/>
      </c>
      <c r="I337" s="10">
        <f t="shared" si="3"/>
        <v>6</v>
      </c>
    </row>
    <row r="338" ht="15.75" customHeight="1">
      <c r="A338" s="8">
        <v>43989.0</v>
      </c>
      <c r="B338" s="9">
        <v>5.0</v>
      </c>
      <c r="C338" s="9">
        <v>4476.0</v>
      </c>
      <c r="D338" s="10" t="s">
        <v>31</v>
      </c>
      <c r="E338" s="10" t="s">
        <v>17</v>
      </c>
      <c r="F338" s="10" t="s">
        <v>421</v>
      </c>
      <c r="G338" s="10">
        <f t="shared" si="1"/>
        <v>4476</v>
      </c>
      <c r="H338" s="9" t="str">
        <f t="shared" si="2"/>
        <v/>
      </c>
      <c r="I338" s="10">
        <f t="shared" si="3"/>
        <v>6</v>
      </c>
    </row>
    <row r="339" ht="15.75" customHeight="1">
      <c r="A339" s="8">
        <v>43989.0</v>
      </c>
      <c r="B339" s="9">
        <v>9.0</v>
      </c>
      <c r="C339" s="9">
        <v>9028.0</v>
      </c>
      <c r="D339" s="10" t="s">
        <v>15</v>
      </c>
      <c r="E339" s="10" t="s">
        <v>17</v>
      </c>
      <c r="F339" s="10" t="s">
        <v>422</v>
      </c>
      <c r="G339" s="10">
        <f t="shared" si="1"/>
        <v>9028</v>
      </c>
      <c r="H339" s="9" t="str">
        <f t="shared" si="2"/>
        <v/>
      </c>
      <c r="I339" s="10">
        <f t="shared" si="3"/>
        <v>6</v>
      </c>
    </row>
    <row r="340" ht="15.75" customHeight="1">
      <c r="A340" s="8">
        <v>43989.0</v>
      </c>
      <c r="B340" s="9">
        <v>4.0</v>
      </c>
      <c r="C340" s="9">
        <v>2579.0</v>
      </c>
      <c r="D340" s="10" t="s">
        <v>34</v>
      </c>
      <c r="E340" s="10" t="s">
        <v>17</v>
      </c>
      <c r="F340" s="10" t="s">
        <v>423</v>
      </c>
      <c r="G340" s="10">
        <f t="shared" si="1"/>
        <v>2579</v>
      </c>
      <c r="H340" s="9" t="str">
        <f t="shared" si="2"/>
        <v/>
      </c>
      <c r="I340" s="10">
        <f t="shared" si="3"/>
        <v>6</v>
      </c>
    </row>
    <row r="341" ht="15.75" customHeight="1">
      <c r="A341" s="8">
        <v>43990.0</v>
      </c>
      <c r="B341" s="9">
        <v>10.0</v>
      </c>
      <c r="C341" s="9">
        <v>4674.0</v>
      </c>
      <c r="D341" s="10" t="s">
        <v>15</v>
      </c>
      <c r="E341" s="10" t="s">
        <v>17</v>
      </c>
      <c r="F341" s="10" t="s">
        <v>424</v>
      </c>
      <c r="G341" s="10">
        <f t="shared" si="1"/>
        <v>4674</v>
      </c>
      <c r="H341" s="9" t="str">
        <f t="shared" si="2"/>
        <v/>
      </c>
      <c r="I341" s="10">
        <f t="shared" si="3"/>
        <v>6</v>
      </c>
    </row>
    <row r="342" ht="15.75" customHeight="1">
      <c r="A342" s="8">
        <v>43990.0</v>
      </c>
      <c r="B342" s="9">
        <v>3.0</v>
      </c>
      <c r="C342" s="9">
        <v>6551.0</v>
      </c>
      <c r="D342" s="10" t="s">
        <v>15</v>
      </c>
      <c r="E342" s="10" t="s">
        <v>17</v>
      </c>
      <c r="F342" s="10" t="s">
        <v>425</v>
      </c>
      <c r="G342" s="10">
        <f t="shared" si="1"/>
        <v>6551</v>
      </c>
      <c r="H342" s="9" t="str">
        <f t="shared" si="2"/>
        <v/>
      </c>
      <c r="I342" s="10">
        <f t="shared" si="3"/>
        <v>6</v>
      </c>
    </row>
    <row r="343" ht="15.75" customHeight="1">
      <c r="A343" s="8">
        <v>43990.0</v>
      </c>
      <c r="B343" s="9">
        <v>8.0</v>
      </c>
      <c r="C343" s="9">
        <v>7070.0</v>
      </c>
      <c r="D343" s="10" t="s">
        <v>31</v>
      </c>
      <c r="E343" s="10" t="s">
        <v>17</v>
      </c>
      <c r="F343" s="10" t="s">
        <v>426</v>
      </c>
      <c r="G343" s="10">
        <f t="shared" si="1"/>
        <v>7070</v>
      </c>
      <c r="H343" s="9" t="str">
        <f t="shared" si="2"/>
        <v/>
      </c>
      <c r="I343" s="10">
        <f t="shared" si="3"/>
        <v>6</v>
      </c>
    </row>
    <row r="344" ht="15.75" customHeight="1">
      <c r="A344" s="8">
        <v>43990.0</v>
      </c>
      <c r="B344" s="9">
        <v>2.0</v>
      </c>
      <c r="C344" s="9">
        <v>7582.0</v>
      </c>
      <c r="D344" s="10" t="s">
        <v>15</v>
      </c>
      <c r="E344" s="10" t="s">
        <v>17</v>
      </c>
      <c r="F344" s="10" t="s">
        <v>427</v>
      </c>
      <c r="G344" s="10">
        <f t="shared" si="1"/>
        <v>7582</v>
      </c>
      <c r="H344" s="9" t="str">
        <f t="shared" si="2"/>
        <v/>
      </c>
      <c r="I344" s="10">
        <f t="shared" si="3"/>
        <v>6</v>
      </c>
    </row>
    <row r="345" ht="15.75" customHeight="1">
      <c r="A345" s="8">
        <v>43991.0</v>
      </c>
      <c r="B345" s="9">
        <v>5.0</v>
      </c>
      <c r="C345" s="9">
        <v>2457.0</v>
      </c>
      <c r="D345" s="10" t="s">
        <v>15</v>
      </c>
      <c r="E345" s="10" t="s">
        <v>17</v>
      </c>
      <c r="F345" s="10" t="s">
        <v>428</v>
      </c>
      <c r="G345" s="10">
        <f t="shared" si="1"/>
        <v>2457</v>
      </c>
      <c r="H345" s="9" t="str">
        <f t="shared" si="2"/>
        <v/>
      </c>
      <c r="I345" s="10">
        <f t="shared" si="3"/>
        <v>6</v>
      </c>
    </row>
    <row r="346" ht="15.75" customHeight="1">
      <c r="A346" s="8">
        <v>43991.0</v>
      </c>
      <c r="B346" s="9">
        <v>10.0</v>
      </c>
      <c r="C346" s="9">
        <v>8749.0</v>
      </c>
      <c r="D346" s="10" t="s">
        <v>34</v>
      </c>
      <c r="E346" s="10" t="s">
        <v>17</v>
      </c>
      <c r="F346" s="10" t="s">
        <v>429</v>
      </c>
      <c r="G346" s="10">
        <f t="shared" si="1"/>
        <v>8749</v>
      </c>
      <c r="H346" s="9" t="str">
        <f t="shared" si="2"/>
        <v/>
      </c>
      <c r="I346" s="10">
        <f t="shared" si="3"/>
        <v>6</v>
      </c>
    </row>
    <row r="347" ht="15.75" customHeight="1">
      <c r="A347" s="8">
        <v>43991.0</v>
      </c>
      <c r="B347" s="9">
        <v>9.0</v>
      </c>
      <c r="C347" s="9">
        <v>9327.0</v>
      </c>
      <c r="D347" s="10" t="s">
        <v>31</v>
      </c>
      <c r="E347" s="10" t="s">
        <v>17</v>
      </c>
      <c r="F347" s="10" t="s">
        <v>430</v>
      </c>
      <c r="G347" s="10">
        <f t="shared" si="1"/>
        <v>9327</v>
      </c>
      <c r="H347" s="9" t="str">
        <f t="shared" si="2"/>
        <v/>
      </c>
      <c r="I347" s="10">
        <f t="shared" si="3"/>
        <v>6</v>
      </c>
    </row>
    <row r="348" ht="15.75" customHeight="1">
      <c r="A348" s="8">
        <v>43992.0</v>
      </c>
      <c r="B348" s="9">
        <v>8.0</v>
      </c>
      <c r="C348" s="9">
        <v>8410.0</v>
      </c>
      <c r="D348" s="10" t="s">
        <v>31</v>
      </c>
      <c r="E348" s="10" t="s">
        <v>17</v>
      </c>
      <c r="F348" s="10" t="s">
        <v>431</v>
      </c>
      <c r="G348" s="10">
        <f t="shared" si="1"/>
        <v>8410</v>
      </c>
      <c r="H348" s="9" t="str">
        <f t="shared" si="2"/>
        <v/>
      </c>
      <c r="I348" s="10">
        <f t="shared" si="3"/>
        <v>6</v>
      </c>
    </row>
    <row r="349" ht="15.75" customHeight="1">
      <c r="A349" s="8">
        <v>43992.0</v>
      </c>
      <c r="B349" s="9">
        <v>10.0</v>
      </c>
      <c r="C349" s="9">
        <v>8473.0</v>
      </c>
      <c r="D349" s="10" t="s">
        <v>34</v>
      </c>
      <c r="E349" s="10" t="s">
        <v>29</v>
      </c>
      <c r="F349" s="10" t="s">
        <v>432</v>
      </c>
      <c r="G349" s="9" t="str">
        <f t="shared" si="1"/>
        <v/>
      </c>
      <c r="H349" s="9" t="str">
        <f t="shared" si="2"/>
        <v/>
      </c>
      <c r="I349" s="10">
        <f t="shared" si="3"/>
        <v>6</v>
      </c>
    </row>
    <row r="350" ht="15.75" customHeight="1">
      <c r="A350" s="8">
        <v>43993.0</v>
      </c>
      <c r="B350" s="9">
        <v>6.0</v>
      </c>
      <c r="C350" s="9">
        <v>154.0</v>
      </c>
      <c r="D350" s="10" t="s">
        <v>15</v>
      </c>
      <c r="E350" s="10" t="s">
        <v>17</v>
      </c>
      <c r="F350" s="10" t="s">
        <v>433</v>
      </c>
      <c r="G350" s="10">
        <f t="shared" si="1"/>
        <v>154</v>
      </c>
      <c r="H350" s="9" t="str">
        <f t="shared" si="2"/>
        <v/>
      </c>
      <c r="I350" s="10">
        <f t="shared" si="3"/>
        <v>6</v>
      </c>
    </row>
    <row r="351" ht="15.75" customHeight="1">
      <c r="A351" s="8">
        <v>43993.0</v>
      </c>
      <c r="B351" s="9">
        <v>7.0</v>
      </c>
      <c r="C351" s="9">
        <v>3683.0</v>
      </c>
      <c r="D351" s="10" t="s">
        <v>15</v>
      </c>
      <c r="E351" s="10" t="s">
        <v>29</v>
      </c>
      <c r="F351" s="10" t="s">
        <v>434</v>
      </c>
      <c r="G351" s="9" t="str">
        <f t="shared" si="1"/>
        <v/>
      </c>
      <c r="H351" s="10">
        <f t="shared" si="2"/>
        <v>3683</v>
      </c>
      <c r="I351" s="10">
        <f t="shared" si="3"/>
        <v>6</v>
      </c>
    </row>
    <row r="352" ht="15.75" customHeight="1">
      <c r="A352" s="8">
        <v>43993.0</v>
      </c>
      <c r="B352" s="9">
        <v>5.0</v>
      </c>
      <c r="C352" s="9">
        <v>2751.0</v>
      </c>
      <c r="D352" s="10" t="s">
        <v>15</v>
      </c>
      <c r="E352" s="10" t="s">
        <v>17</v>
      </c>
      <c r="F352" s="10" t="s">
        <v>435</v>
      </c>
      <c r="G352" s="10">
        <f t="shared" si="1"/>
        <v>2751</v>
      </c>
      <c r="H352" s="9" t="str">
        <f t="shared" si="2"/>
        <v/>
      </c>
      <c r="I352" s="10">
        <f t="shared" si="3"/>
        <v>6</v>
      </c>
    </row>
    <row r="353" ht="15.75" customHeight="1">
      <c r="A353" s="8">
        <v>43993.0</v>
      </c>
      <c r="B353" s="9">
        <v>1.0</v>
      </c>
      <c r="C353" s="9">
        <v>4638.0</v>
      </c>
      <c r="D353" s="10" t="s">
        <v>31</v>
      </c>
      <c r="E353" s="10" t="s">
        <v>17</v>
      </c>
      <c r="F353" s="10" t="s">
        <v>436</v>
      </c>
      <c r="G353" s="10">
        <f t="shared" si="1"/>
        <v>4638</v>
      </c>
      <c r="H353" s="9" t="str">
        <f t="shared" si="2"/>
        <v/>
      </c>
      <c r="I353" s="10">
        <f t="shared" si="3"/>
        <v>6</v>
      </c>
    </row>
    <row r="354" ht="15.75" customHeight="1">
      <c r="A354" s="8">
        <v>43993.0</v>
      </c>
      <c r="B354" s="9">
        <v>2.0</v>
      </c>
      <c r="C354" s="9">
        <v>6270.0</v>
      </c>
      <c r="D354" s="10" t="s">
        <v>42</v>
      </c>
      <c r="E354" s="10" t="s">
        <v>17</v>
      </c>
      <c r="F354" s="10" t="s">
        <v>437</v>
      </c>
      <c r="G354" s="10">
        <f t="shared" si="1"/>
        <v>6270</v>
      </c>
      <c r="H354" s="9" t="str">
        <f t="shared" si="2"/>
        <v/>
      </c>
      <c r="I354" s="10">
        <f t="shared" si="3"/>
        <v>6</v>
      </c>
    </row>
    <row r="355" ht="15.75" customHeight="1">
      <c r="A355" s="8">
        <v>43993.0</v>
      </c>
      <c r="B355" s="9">
        <v>5.0</v>
      </c>
      <c r="C355" s="9">
        <v>3118.0</v>
      </c>
      <c r="D355" s="10" t="s">
        <v>34</v>
      </c>
      <c r="E355" s="10" t="s">
        <v>17</v>
      </c>
      <c r="F355" s="10" t="s">
        <v>438</v>
      </c>
      <c r="G355" s="10">
        <f t="shared" si="1"/>
        <v>3118</v>
      </c>
      <c r="H355" s="9" t="str">
        <f t="shared" si="2"/>
        <v/>
      </c>
      <c r="I355" s="10">
        <f t="shared" si="3"/>
        <v>6</v>
      </c>
    </row>
    <row r="356" ht="15.75" customHeight="1">
      <c r="A356" s="8">
        <v>43993.0</v>
      </c>
      <c r="B356" s="9">
        <v>4.0</v>
      </c>
      <c r="C356" s="9">
        <v>9337.0</v>
      </c>
      <c r="D356" s="10" t="s">
        <v>15</v>
      </c>
      <c r="E356" s="10" t="s">
        <v>29</v>
      </c>
      <c r="F356" s="10" t="s">
        <v>439</v>
      </c>
      <c r="G356" s="9" t="str">
        <f t="shared" si="1"/>
        <v/>
      </c>
      <c r="H356" s="10">
        <f t="shared" si="2"/>
        <v>9337</v>
      </c>
      <c r="I356" s="10">
        <f t="shared" si="3"/>
        <v>6</v>
      </c>
    </row>
    <row r="357" ht="15.75" customHeight="1">
      <c r="A357" s="8">
        <v>43994.0</v>
      </c>
      <c r="B357" s="9">
        <v>5.0</v>
      </c>
      <c r="C357" s="9">
        <v>9839.0</v>
      </c>
      <c r="D357" s="10" t="s">
        <v>15</v>
      </c>
      <c r="E357" s="10" t="s">
        <v>17</v>
      </c>
      <c r="F357" s="10" t="s">
        <v>440</v>
      </c>
      <c r="G357" s="10">
        <f t="shared" si="1"/>
        <v>9839</v>
      </c>
      <c r="H357" s="9" t="str">
        <f t="shared" si="2"/>
        <v/>
      </c>
      <c r="I357" s="10">
        <f t="shared" si="3"/>
        <v>6</v>
      </c>
    </row>
    <row r="358" ht="15.75" customHeight="1">
      <c r="A358" s="8">
        <v>43995.0</v>
      </c>
      <c r="B358" s="9">
        <v>2.0</v>
      </c>
      <c r="C358" s="9">
        <v>399.0</v>
      </c>
      <c r="D358" s="10" t="s">
        <v>34</v>
      </c>
      <c r="E358" s="10" t="s">
        <v>29</v>
      </c>
      <c r="F358" s="10" t="s">
        <v>441</v>
      </c>
      <c r="G358" s="9" t="str">
        <f t="shared" si="1"/>
        <v/>
      </c>
      <c r="H358" s="9" t="str">
        <f t="shared" si="2"/>
        <v/>
      </c>
      <c r="I358" s="10">
        <f t="shared" si="3"/>
        <v>6</v>
      </c>
    </row>
    <row r="359" ht="15.75" customHeight="1">
      <c r="A359" s="8">
        <v>43995.0</v>
      </c>
      <c r="B359" s="9">
        <v>8.0</v>
      </c>
      <c r="C359" s="9">
        <v>5835.0</v>
      </c>
      <c r="D359" s="10" t="s">
        <v>15</v>
      </c>
      <c r="E359" s="10" t="s">
        <v>29</v>
      </c>
      <c r="F359" s="10" t="s">
        <v>442</v>
      </c>
      <c r="G359" s="9" t="str">
        <f t="shared" si="1"/>
        <v/>
      </c>
      <c r="H359" s="10">
        <f t="shared" si="2"/>
        <v>5835</v>
      </c>
      <c r="I359" s="10">
        <f t="shared" si="3"/>
        <v>6</v>
      </c>
    </row>
    <row r="360" ht="15.75" customHeight="1">
      <c r="A360" s="8">
        <v>43997.0</v>
      </c>
      <c r="B360" s="9">
        <v>8.0</v>
      </c>
      <c r="C360" s="9">
        <v>5721.0</v>
      </c>
      <c r="D360" s="10" t="s">
        <v>34</v>
      </c>
      <c r="E360" s="10" t="s">
        <v>29</v>
      </c>
      <c r="F360" s="10" t="s">
        <v>443</v>
      </c>
      <c r="G360" s="9" t="str">
        <f t="shared" si="1"/>
        <v/>
      </c>
      <c r="H360" s="9" t="str">
        <f t="shared" si="2"/>
        <v/>
      </c>
      <c r="I360" s="10">
        <f t="shared" si="3"/>
        <v>6</v>
      </c>
    </row>
    <row r="361" ht="15.75" customHeight="1">
      <c r="A361" s="8">
        <v>43998.0</v>
      </c>
      <c r="B361" s="9">
        <v>2.0</v>
      </c>
      <c r="C361" s="9">
        <v>8946.0</v>
      </c>
      <c r="D361" s="10" t="s">
        <v>31</v>
      </c>
      <c r="E361" s="10" t="s">
        <v>17</v>
      </c>
      <c r="F361" s="10" t="s">
        <v>444</v>
      </c>
      <c r="G361" s="10">
        <f t="shared" si="1"/>
        <v>8946</v>
      </c>
      <c r="H361" s="9" t="str">
        <f t="shared" si="2"/>
        <v/>
      </c>
      <c r="I361" s="10">
        <f t="shared" si="3"/>
        <v>6</v>
      </c>
    </row>
    <row r="362" ht="15.75" customHeight="1">
      <c r="A362" s="8">
        <v>43998.0</v>
      </c>
      <c r="B362" s="9">
        <v>1.0</v>
      </c>
      <c r="C362" s="9">
        <v>5942.0</v>
      </c>
      <c r="D362" s="10" t="s">
        <v>15</v>
      </c>
      <c r="E362" s="10" t="s">
        <v>17</v>
      </c>
      <c r="F362" s="10" t="s">
        <v>445</v>
      </c>
      <c r="G362" s="10">
        <f t="shared" si="1"/>
        <v>5942</v>
      </c>
      <c r="H362" s="9" t="str">
        <f t="shared" si="2"/>
        <v/>
      </c>
      <c r="I362" s="10">
        <f t="shared" si="3"/>
        <v>6</v>
      </c>
    </row>
    <row r="363" ht="15.75" customHeight="1">
      <c r="A363" s="8">
        <v>43998.0</v>
      </c>
      <c r="B363" s="9">
        <v>4.0</v>
      </c>
      <c r="C363" s="9">
        <v>9431.0</v>
      </c>
      <c r="D363" s="10" t="s">
        <v>95</v>
      </c>
      <c r="E363" s="10" t="s">
        <v>17</v>
      </c>
      <c r="F363" s="10" t="s">
        <v>446</v>
      </c>
      <c r="G363" s="10">
        <f t="shared" si="1"/>
        <v>9431</v>
      </c>
      <c r="H363" s="9" t="str">
        <f t="shared" si="2"/>
        <v/>
      </c>
      <c r="I363" s="10">
        <f t="shared" si="3"/>
        <v>6</v>
      </c>
    </row>
    <row r="364" ht="15.75" customHeight="1">
      <c r="A364" s="8">
        <v>43998.0</v>
      </c>
      <c r="B364" s="9">
        <v>2.0</v>
      </c>
      <c r="C364" s="9">
        <v>9178.0</v>
      </c>
      <c r="D364" s="10" t="s">
        <v>34</v>
      </c>
      <c r="E364" s="10" t="s">
        <v>17</v>
      </c>
      <c r="F364" s="10" t="s">
        <v>447</v>
      </c>
      <c r="G364" s="10">
        <f t="shared" si="1"/>
        <v>9178</v>
      </c>
      <c r="H364" s="9" t="str">
        <f t="shared" si="2"/>
        <v/>
      </c>
      <c r="I364" s="10">
        <f t="shared" si="3"/>
        <v>6</v>
      </c>
    </row>
    <row r="365" ht="15.75" customHeight="1">
      <c r="A365" s="8">
        <v>43999.0</v>
      </c>
      <c r="B365" s="9">
        <v>1.0</v>
      </c>
      <c r="C365" s="9">
        <v>4716.0</v>
      </c>
      <c r="D365" s="10" t="s">
        <v>31</v>
      </c>
      <c r="E365" s="10" t="s">
        <v>17</v>
      </c>
      <c r="F365" s="10" t="s">
        <v>448</v>
      </c>
      <c r="G365" s="10">
        <f t="shared" si="1"/>
        <v>4716</v>
      </c>
      <c r="H365" s="9" t="str">
        <f t="shared" si="2"/>
        <v/>
      </c>
      <c r="I365" s="10">
        <f t="shared" si="3"/>
        <v>6</v>
      </c>
    </row>
    <row r="366" ht="15.75" customHeight="1">
      <c r="A366" s="8">
        <v>43999.0</v>
      </c>
      <c r="B366" s="9">
        <v>8.0</v>
      </c>
      <c r="C366" s="9">
        <v>9134.0</v>
      </c>
      <c r="D366" s="10" t="s">
        <v>15</v>
      </c>
      <c r="E366" s="10" t="s">
        <v>17</v>
      </c>
      <c r="F366" s="10" t="s">
        <v>449</v>
      </c>
      <c r="G366" s="10">
        <f t="shared" si="1"/>
        <v>9134</v>
      </c>
      <c r="H366" s="9" t="str">
        <f t="shared" si="2"/>
        <v/>
      </c>
      <c r="I366" s="10">
        <f t="shared" si="3"/>
        <v>6</v>
      </c>
    </row>
    <row r="367" ht="15.75" customHeight="1">
      <c r="A367" s="8">
        <v>44000.0</v>
      </c>
      <c r="B367" s="9">
        <v>8.0</v>
      </c>
      <c r="C367" s="9">
        <v>4780.0</v>
      </c>
      <c r="D367" s="10" t="s">
        <v>15</v>
      </c>
      <c r="E367" s="10" t="s">
        <v>29</v>
      </c>
      <c r="F367" s="10" t="s">
        <v>450</v>
      </c>
      <c r="G367" s="9" t="str">
        <f t="shared" si="1"/>
        <v/>
      </c>
      <c r="H367" s="10">
        <f t="shared" si="2"/>
        <v>4780</v>
      </c>
      <c r="I367" s="10">
        <f t="shared" si="3"/>
        <v>6</v>
      </c>
    </row>
    <row r="368" ht="15.75" customHeight="1">
      <c r="A368" s="8">
        <v>44000.0</v>
      </c>
      <c r="B368" s="9">
        <v>6.0</v>
      </c>
      <c r="C368" s="9">
        <v>6639.0</v>
      </c>
      <c r="D368" s="10" t="s">
        <v>42</v>
      </c>
      <c r="E368" s="10" t="s">
        <v>17</v>
      </c>
      <c r="F368" s="10" t="s">
        <v>451</v>
      </c>
      <c r="G368" s="10">
        <f t="shared" si="1"/>
        <v>6639</v>
      </c>
      <c r="H368" s="9" t="str">
        <f t="shared" si="2"/>
        <v/>
      </c>
      <c r="I368" s="10">
        <f t="shared" si="3"/>
        <v>6</v>
      </c>
    </row>
    <row r="369" ht="15.75" customHeight="1">
      <c r="A369" s="8">
        <v>44000.0</v>
      </c>
      <c r="B369" s="9">
        <v>4.0</v>
      </c>
      <c r="C369" s="9">
        <v>9283.0</v>
      </c>
      <c r="D369" s="10" t="s">
        <v>15</v>
      </c>
      <c r="E369" s="10" t="s">
        <v>29</v>
      </c>
      <c r="F369" s="10" t="s">
        <v>452</v>
      </c>
      <c r="G369" s="9" t="str">
        <f t="shared" si="1"/>
        <v/>
      </c>
      <c r="H369" s="10">
        <f t="shared" si="2"/>
        <v>9283</v>
      </c>
      <c r="I369" s="10">
        <f t="shared" si="3"/>
        <v>6</v>
      </c>
    </row>
    <row r="370" ht="15.75" customHeight="1">
      <c r="A370" s="8">
        <v>44000.0</v>
      </c>
      <c r="B370" s="9">
        <v>7.0</v>
      </c>
      <c r="C370" s="9">
        <v>3753.0</v>
      </c>
      <c r="D370" s="10" t="s">
        <v>15</v>
      </c>
      <c r="E370" s="10" t="s">
        <v>17</v>
      </c>
      <c r="F370" s="10" t="s">
        <v>453</v>
      </c>
      <c r="G370" s="10">
        <f t="shared" si="1"/>
        <v>3753</v>
      </c>
      <c r="H370" s="9" t="str">
        <f t="shared" si="2"/>
        <v/>
      </c>
      <c r="I370" s="10">
        <f t="shared" si="3"/>
        <v>6</v>
      </c>
    </row>
    <row r="371" ht="15.75" customHeight="1">
      <c r="A371" s="8">
        <v>44000.0</v>
      </c>
      <c r="B371" s="9">
        <v>6.0</v>
      </c>
      <c r="C371" s="9">
        <v>8029.0</v>
      </c>
      <c r="D371" s="10" t="s">
        <v>15</v>
      </c>
      <c r="E371" s="10" t="s">
        <v>17</v>
      </c>
      <c r="F371" s="10" t="s">
        <v>454</v>
      </c>
      <c r="G371" s="10">
        <f t="shared" si="1"/>
        <v>8029</v>
      </c>
      <c r="H371" s="9" t="str">
        <f t="shared" si="2"/>
        <v/>
      </c>
      <c r="I371" s="10">
        <f t="shared" si="3"/>
        <v>6</v>
      </c>
    </row>
    <row r="372" ht="15.75" customHeight="1">
      <c r="A372" s="8">
        <v>44000.0</v>
      </c>
      <c r="B372" s="9">
        <v>4.0</v>
      </c>
      <c r="C372" s="9">
        <v>540.0</v>
      </c>
      <c r="D372" s="10" t="s">
        <v>15</v>
      </c>
      <c r="E372" s="10" t="s">
        <v>17</v>
      </c>
      <c r="F372" s="10" t="s">
        <v>455</v>
      </c>
      <c r="G372" s="10">
        <f t="shared" si="1"/>
        <v>540</v>
      </c>
      <c r="H372" s="9" t="str">
        <f t="shared" si="2"/>
        <v/>
      </c>
      <c r="I372" s="10">
        <f t="shared" si="3"/>
        <v>6</v>
      </c>
    </row>
    <row r="373" ht="15.75" customHeight="1">
      <c r="A373" s="8">
        <v>44000.0</v>
      </c>
      <c r="B373" s="9">
        <v>1.0</v>
      </c>
      <c r="C373" s="9">
        <v>1615.0</v>
      </c>
      <c r="D373" s="10" t="s">
        <v>15</v>
      </c>
      <c r="E373" s="10" t="s">
        <v>29</v>
      </c>
      <c r="F373" s="10" t="s">
        <v>456</v>
      </c>
      <c r="G373" s="9" t="str">
        <f t="shared" si="1"/>
        <v/>
      </c>
      <c r="H373" s="10">
        <f t="shared" si="2"/>
        <v>1615</v>
      </c>
      <c r="I373" s="10">
        <f t="shared" si="3"/>
        <v>6</v>
      </c>
    </row>
    <row r="374" ht="15.75" customHeight="1">
      <c r="A374" s="8">
        <v>44001.0</v>
      </c>
      <c r="B374" s="9">
        <v>6.0</v>
      </c>
      <c r="C374" s="9">
        <v>8890.0</v>
      </c>
      <c r="D374" s="10" t="s">
        <v>15</v>
      </c>
      <c r="E374" s="10" t="s">
        <v>17</v>
      </c>
      <c r="F374" s="10" t="s">
        <v>457</v>
      </c>
      <c r="G374" s="10">
        <f t="shared" si="1"/>
        <v>8890</v>
      </c>
      <c r="H374" s="9" t="str">
        <f t="shared" si="2"/>
        <v/>
      </c>
      <c r="I374" s="10">
        <f t="shared" si="3"/>
        <v>6</v>
      </c>
    </row>
    <row r="375" ht="15.75" customHeight="1">
      <c r="A375" s="8">
        <v>44002.0</v>
      </c>
      <c r="B375" s="9">
        <v>5.0</v>
      </c>
      <c r="C375" s="9">
        <v>9943.0</v>
      </c>
      <c r="D375" s="10" t="s">
        <v>95</v>
      </c>
      <c r="E375" s="10" t="s">
        <v>17</v>
      </c>
      <c r="F375" s="10" t="s">
        <v>458</v>
      </c>
      <c r="G375" s="10">
        <f t="shared" si="1"/>
        <v>9943</v>
      </c>
      <c r="H375" s="9" t="str">
        <f t="shared" si="2"/>
        <v/>
      </c>
      <c r="I375" s="10">
        <f t="shared" si="3"/>
        <v>6</v>
      </c>
    </row>
    <row r="376" ht="15.75" customHeight="1">
      <c r="A376" s="8">
        <v>44003.0</v>
      </c>
      <c r="B376" s="9">
        <v>4.0</v>
      </c>
      <c r="C376" s="9">
        <v>9791.0</v>
      </c>
      <c r="D376" s="10" t="s">
        <v>15</v>
      </c>
      <c r="E376" s="10" t="s">
        <v>17</v>
      </c>
      <c r="F376" s="10" t="s">
        <v>459</v>
      </c>
      <c r="G376" s="10">
        <f t="shared" si="1"/>
        <v>9791</v>
      </c>
      <c r="H376" s="9" t="str">
        <f t="shared" si="2"/>
        <v/>
      </c>
      <c r="I376" s="10">
        <f t="shared" si="3"/>
        <v>6</v>
      </c>
    </row>
    <row r="377" ht="15.75" customHeight="1">
      <c r="A377" s="8">
        <v>44004.0</v>
      </c>
      <c r="B377" s="9">
        <v>10.0</v>
      </c>
      <c r="C377" s="9">
        <v>8676.0</v>
      </c>
      <c r="D377" s="10" t="s">
        <v>42</v>
      </c>
      <c r="E377" s="10" t="s">
        <v>17</v>
      </c>
      <c r="F377" s="10" t="s">
        <v>460</v>
      </c>
      <c r="G377" s="10">
        <f t="shared" si="1"/>
        <v>8676</v>
      </c>
      <c r="H377" s="9" t="str">
        <f t="shared" si="2"/>
        <v/>
      </c>
      <c r="I377" s="10">
        <f t="shared" si="3"/>
        <v>6</v>
      </c>
    </row>
    <row r="378" ht="15.75" customHeight="1">
      <c r="A378" s="8">
        <v>44004.0</v>
      </c>
      <c r="B378" s="9">
        <v>5.0</v>
      </c>
      <c r="C378" s="9">
        <v>8237.0</v>
      </c>
      <c r="D378" s="10" t="s">
        <v>15</v>
      </c>
      <c r="E378" s="10" t="s">
        <v>17</v>
      </c>
      <c r="F378" s="10" t="s">
        <v>461</v>
      </c>
      <c r="G378" s="10">
        <f t="shared" si="1"/>
        <v>8237</v>
      </c>
      <c r="H378" s="9" t="str">
        <f t="shared" si="2"/>
        <v/>
      </c>
      <c r="I378" s="10">
        <f t="shared" si="3"/>
        <v>6</v>
      </c>
    </row>
    <row r="379" ht="15.75" customHeight="1">
      <c r="A379" s="8">
        <v>44006.0</v>
      </c>
      <c r="B379" s="9">
        <v>1.0</v>
      </c>
      <c r="C379" s="9">
        <v>8618.0</v>
      </c>
      <c r="D379" s="10" t="s">
        <v>15</v>
      </c>
      <c r="E379" s="10" t="s">
        <v>17</v>
      </c>
      <c r="F379" s="10" t="s">
        <v>462</v>
      </c>
      <c r="G379" s="10">
        <f t="shared" si="1"/>
        <v>8618</v>
      </c>
      <c r="H379" s="9" t="str">
        <f t="shared" si="2"/>
        <v/>
      </c>
      <c r="I379" s="10">
        <f t="shared" si="3"/>
        <v>6</v>
      </c>
    </row>
    <row r="380" ht="15.75" customHeight="1">
      <c r="A380" s="8">
        <v>44006.0</v>
      </c>
      <c r="B380" s="9">
        <v>7.0</v>
      </c>
      <c r="C380" s="9">
        <v>333.0</v>
      </c>
      <c r="D380" s="10" t="s">
        <v>15</v>
      </c>
      <c r="E380" s="10" t="s">
        <v>17</v>
      </c>
      <c r="F380" s="10" t="s">
        <v>463</v>
      </c>
      <c r="G380" s="10">
        <f t="shared" si="1"/>
        <v>333</v>
      </c>
      <c r="H380" s="9" t="str">
        <f t="shared" si="2"/>
        <v/>
      </c>
      <c r="I380" s="10">
        <f t="shared" si="3"/>
        <v>6</v>
      </c>
    </row>
    <row r="381" ht="15.75" customHeight="1">
      <c r="A381" s="8">
        <v>44006.0</v>
      </c>
      <c r="B381" s="9">
        <v>8.0</v>
      </c>
      <c r="C381" s="9">
        <v>6738.0</v>
      </c>
      <c r="D381" s="10" t="s">
        <v>15</v>
      </c>
      <c r="E381" s="10" t="s">
        <v>29</v>
      </c>
      <c r="F381" s="10" t="s">
        <v>464</v>
      </c>
      <c r="G381" s="9" t="str">
        <f t="shared" si="1"/>
        <v/>
      </c>
      <c r="H381" s="10">
        <f t="shared" si="2"/>
        <v>6738</v>
      </c>
      <c r="I381" s="10">
        <f t="shared" si="3"/>
        <v>6</v>
      </c>
    </row>
    <row r="382" ht="15.75" customHeight="1">
      <c r="A382" s="8">
        <v>44006.0</v>
      </c>
      <c r="B382" s="9">
        <v>2.0</v>
      </c>
      <c r="C382" s="9">
        <v>8005.0</v>
      </c>
      <c r="D382" s="10" t="s">
        <v>15</v>
      </c>
      <c r="E382" s="10" t="s">
        <v>17</v>
      </c>
      <c r="F382" s="10" t="s">
        <v>465</v>
      </c>
      <c r="G382" s="10">
        <f t="shared" si="1"/>
        <v>8005</v>
      </c>
      <c r="H382" s="9" t="str">
        <f t="shared" si="2"/>
        <v/>
      </c>
      <c r="I382" s="10">
        <f t="shared" si="3"/>
        <v>6</v>
      </c>
    </row>
    <row r="383" ht="15.75" customHeight="1">
      <c r="A383" s="8">
        <v>44006.0</v>
      </c>
      <c r="B383" s="9">
        <v>5.0</v>
      </c>
      <c r="C383" s="9">
        <v>4416.0</v>
      </c>
      <c r="D383" s="10" t="s">
        <v>15</v>
      </c>
      <c r="E383" s="10" t="s">
        <v>17</v>
      </c>
      <c r="F383" s="10" t="s">
        <v>466</v>
      </c>
      <c r="G383" s="10">
        <f t="shared" si="1"/>
        <v>4416</v>
      </c>
      <c r="H383" s="9" t="str">
        <f t="shared" si="2"/>
        <v/>
      </c>
      <c r="I383" s="10">
        <f t="shared" si="3"/>
        <v>6</v>
      </c>
    </row>
    <row r="384" ht="15.75" customHeight="1">
      <c r="A384" s="8">
        <v>44007.0</v>
      </c>
      <c r="B384" s="9">
        <v>2.0</v>
      </c>
      <c r="C384" s="9">
        <v>271.0</v>
      </c>
      <c r="D384" s="10" t="s">
        <v>15</v>
      </c>
      <c r="E384" s="10" t="s">
        <v>17</v>
      </c>
      <c r="F384" s="10" t="s">
        <v>467</v>
      </c>
      <c r="G384" s="10">
        <f t="shared" si="1"/>
        <v>271</v>
      </c>
      <c r="H384" s="9" t="str">
        <f t="shared" si="2"/>
        <v/>
      </c>
      <c r="I384" s="10">
        <f t="shared" si="3"/>
        <v>6</v>
      </c>
    </row>
    <row r="385" ht="15.75" customHeight="1">
      <c r="A385" s="8">
        <v>44007.0</v>
      </c>
      <c r="B385" s="9">
        <v>9.0</v>
      </c>
      <c r="C385" s="9">
        <v>7519.0</v>
      </c>
      <c r="D385" s="10" t="s">
        <v>15</v>
      </c>
      <c r="E385" s="10" t="s">
        <v>17</v>
      </c>
      <c r="F385" s="10" t="s">
        <v>468</v>
      </c>
      <c r="G385" s="10">
        <f t="shared" si="1"/>
        <v>7519</v>
      </c>
      <c r="H385" s="9" t="str">
        <f t="shared" si="2"/>
        <v/>
      </c>
      <c r="I385" s="10">
        <f t="shared" si="3"/>
        <v>6</v>
      </c>
    </row>
    <row r="386" ht="15.75" customHeight="1">
      <c r="A386" s="8">
        <v>44007.0</v>
      </c>
      <c r="B386" s="9">
        <v>3.0</v>
      </c>
      <c r="C386" s="9">
        <v>1526.0</v>
      </c>
      <c r="D386" s="10" t="s">
        <v>31</v>
      </c>
      <c r="E386" s="10" t="s">
        <v>17</v>
      </c>
      <c r="F386" s="10" t="s">
        <v>469</v>
      </c>
      <c r="G386" s="10">
        <f t="shared" si="1"/>
        <v>1526</v>
      </c>
      <c r="H386" s="9" t="str">
        <f t="shared" si="2"/>
        <v/>
      </c>
      <c r="I386" s="10">
        <f t="shared" si="3"/>
        <v>6</v>
      </c>
    </row>
    <row r="387" ht="15.75" customHeight="1">
      <c r="A387" s="8">
        <v>44008.0</v>
      </c>
      <c r="B387" s="9">
        <v>3.0</v>
      </c>
      <c r="C387" s="9">
        <v>8154.0</v>
      </c>
      <c r="D387" s="10" t="s">
        <v>95</v>
      </c>
      <c r="E387" s="10" t="s">
        <v>17</v>
      </c>
      <c r="F387" s="10" t="s">
        <v>470</v>
      </c>
      <c r="G387" s="10">
        <f t="shared" si="1"/>
        <v>8154</v>
      </c>
      <c r="H387" s="9" t="str">
        <f t="shared" si="2"/>
        <v/>
      </c>
      <c r="I387" s="10">
        <f t="shared" si="3"/>
        <v>6</v>
      </c>
    </row>
    <row r="388" ht="15.75" customHeight="1">
      <c r="A388" s="8">
        <v>44009.0</v>
      </c>
      <c r="B388" s="9">
        <v>3.0</v>
      </c>
      <c r="C388" s="9">
        <v>3674.0</v>
      </c>
      <c r="D388" s="10" t="s">
        <v>34</v>
      </c>
      <c r="E388" s="10" t="s">
        <v>17</v>
      </c>
      <c r="F388" s="10" t="s">
        <v>471</v>
      </c>
      <c r="G388" s="10">
        <f t="shared" si="1"/>
        <v>3674</v>
      </c>
      <c r="H388" s="9" t="str">
        <f t="shared" si="2"/>
        <v/>
      </c>
      <c r="I388" s="10">
        <f t="shared" si="3"/>
        <v>6</v>
      </c>
    </row>
    <row r="389" ht="15.75" customHeight="1">
      <c r="A389" s="8">
        <v>44009.0</v>
      </c>
      <c r="B389" s="9">
        <v>10.0</v>
      </c>
      <c r="C389" s="9">
        <v>2230.0</v>
      </c>
      <c r="D389" s="10" t="s">
        <v>15</v>
      </c>
      <c r="E389" s="10" t="s">
        <v>17</v>
      </c>
      <c r="F389" s="10" t="s">
        <v>472</v>
      </c>
      <c r="G389" s="10">
        <f t="shared" si="1"/>
        <v>2230</v>
      </c>
      <c r="H389" s="9" t="str">
        <f t="shared" si="2"/>
        <v/>
      </c>
      <c r="I389" s="10">
        <f t="shared" si="3"/>
        <v>6</v>
      </c>
    </row>
    <row r="390" ht="15.75" customHeight="1">
      <c r="A390" s="8">
        <v>44009.0</v>
      </c>
      <c r="B390" s="9">
        <v>4.0</v>
      </c>
      <c r="C390" s="9">
        <v>6048.0</v>
      </c>
      <c r="D390" s="10" t="s">
        <v>31</v>
      </c>
      <c r="E390" s="10" t="s">
        <v>17</v>
      </c>
      <c r="F390" s="10" t="s">
        <v>473</v>
      </c>
      <c r="G390" s="10">
        <f t="shared" si="1"/>
        <v>6048</v>
      </c>
      <c r="H390" s="9" t="str">
        <f t="shared" si="2"/>
        <v/>
      </c>
      <c r="I390" s="10">
        <f t="shared" si="3"/>
        <v>6</v>
      </c>
    </row>
    <row r="391" ht="15.75" customHeight="1">
      <c r="A391" s="8">
        <v>44010.0</v>
      </c>
      <c r="B391" s="9">
        <v>10.0</v>
      </c>
      <c r="C391" s="9">
        <v>7741.0</v>
      </c>
      <c r="D391" s="10" t="s">
        <v>15</v>
      </c>
      <c r="E391" s="10" t="s">
        <v>29</v>
      </c>
      <c r="F391" s="10" t="s">
        <v>474</v>
      </c>
      <c r="G391" s="9" t="str">
        <f t="shared" si="1"/>
        <v/>
      </c>
      <c r="H391" s="10">
        <f t="shared" si="2"/>
        <v>7741</v>
      </c>
      <c r="I391" s="10">
        <f t="shared" si="3"/>
        <v>6</v>
      </c>
    </row>
    <row r="392" ht="15.75" customHeight="1">
      <c r="A392" s="8">
        <v>44010.0</v>
      </c>
      <c r="B392" s="9">
        <v>2.0</v>
      </c>
      <c r="C392" s="9">
        <v>3085.0</v>
      </c>
      <c r="D392" s="10" t="s">
        <v>34</v>
      </c>
      <c r="E392" s="10" t="s">
        <v>17</v>
      </c>
      <c r="F392" s="10" t="s">
        <v>475</v>
      </c>
      <c r="G392" s="10">
        <f t="shared" si="1"/>
        <v>3085</v>
      </c>
      <c r="H392" s="9" t="str">
        <f t="shared" si="2"/>
        <v/>
      </c>
      <c r="I392" s="10">
        <f t="shared" si="3"/>
        <v>6</v>
      </c>
    </row>
    <row r="393" ht="15.75" customHeight="1">
      <c r="A393" s="8">
        <v>44011.0</v>
      </c>
      <c r="B393" s="9">
        <v>2.0</v>
      </c>
      <c r="C393" s="9">
        <v>6239.0</v>
      </c>
      <c r="D393" s="10" t="s">
        <v>34</v>
      </c>
      <c r="E393" s="10" t="s">
        <v>17</v>
      </c>
      <c r="F393" s="10" t="s">
        <v>476</v>
      </c>
      <c r="G393" s="10">
        <f t="shared" si="1"/>
        <v>6239</v>
      </c>
      <c r="H393" s="9" t="str">
        <f t="shared" si="2"/>
        <v/>
      </c>
      <c r="I393" s="10">
        <f t="shared" si="3"/>
        <v>6</v>
      </c>
    </row>
    <row r="394" ht="15.75" customHeight="1">
      <c r="A394" s="8">
        <v>44012.0</v>
      </c>
      <c r="B394" s="9">
        <v>2.0</v>
      </c>
      <c r="C394" s="9">
        <v>9949.0</v>
      </c>
      <c r="D394" s="10" t="s">
        <v>31</v>
      </c>
      <c r="E394" s="10" t="s">
        <v>17</v>
      </c>
      <c r="F394" s="10" t="s">
        <v>477</v>
      </c>
      <c r="G394" s="10">
        <f t="shared" si="1"/>
        <v>9949</v>
      </c>
      <c r="H394" s="9" t="str">
        <f t="shared" si="2"/>
        <v/>
      </c>
      <c r="I394" s="10">
        <f t="shared" si="3"/>
        <v>6</v>
      </c>
    </row>
    <row r="395" ht="15.75" customHeight="1">
      <c r="A395" s="8">
        <v>44012.0</v>
      </c>
      <c r="B395" s="9">
        <v>5.0</v>
      </c>
      <c r="C395" s="9">
        <v>4285.0</v>
      </c>
      <c r="D395" s="10" t="s">
        <v>15</v>
      </c>
      <c r="E395" s="10" t="s">
        <v>29</v>
      </c>
      <c r="F395" s="10" t="s">
        <v>478</v>
      </c>
      <c r="G395" s="9" t="str">
        <f t="shared" si="1"/>
        <v/>
      </c>
      <c r="H395" s="10">
        <f t="shared" si="2"/>
        <v>4285</v>
      </c>
      <c r="I395" s="10">
        <f t="shared" si="3"/>
        <v>6</v>
      </c>
    </row>
    <row r="396" ht="15.75" customHeight="1">
      <c r="A396" s="8">
        <v>44012.0</v>
      </c>
      <c r="B396" s="9">
        <v>10.0</v>
      </c>
      <c r="C396" s="9">
        <v>5536.0</v>
      </c>
      <c r="D396" s="10" t="s">
        <v>15</v>
      </c>
      <c r="E396" s="10" t="s">
        <v>17</v>
      </c>
      <c r="F396" s="10" t="s">
        <v>479</v>
      </c>
      <c r="G396" s="10">
        <f t="shared" si="1"/>
        <v>5536</v>
      </c>
      <c r="H396" s="9" t="str">
        <f t="shared" si="2"/>
        <v/>
      </c>
      <c r="I396" s="10">
        <f t="shared" si="3"/>
        <v>6</v>
      </c>
    </row>
    <row r="397" ht="15.75" customHeight="1">
      <c r="A397" s="8">
        <v>44013.0</v>
      </c>
      <c r="B397" s="9">
        <v>8.0</v>
      </c>
      <c r="C397" s="9">
        <v>1091.0</v>
      </c>
      <c r="D397" s="10" t="s">
        <v>15</v>
      </c>
      <c r="E397" s="10" t="s">
        <v>29</v>
      </c>
      <c r="F397" s="10" t="s">
        <v>480</v>
      </c>
      <c r="G397" s="9" t="str">
        <f t="shared" si="1"/>
        <v/>
      </c>
      <c r="H397" s="10">
        <f t="shared" si="2"/>
        <v>1091</v>
      </c>
      <c r="I397" s="10">
        <f t="shared" si="3"/>
        <v>7</v>
      </c>
    </row>
    <row r="398" ht="15.75" customHeight="1">
      <c r="A398" s="8">
        <v>44013.0</v>
      </c>
      <c r="B398" s="9">
        <v>1.0</v>
      </c>
      <c r="C398" s="9">
        <v>7285.0</v>
      </c>
      <c r="D398" s="10" t="s">
        <v>15</v>
      </c>
      <c r="E398" s="10" t="s">
        <v>29</v>
      </c>
      <c r="F398" s="10" t="s">
        <v>481</v>
      </c>
      <c r="G398" s="9" t="str">
        <f t="shared" si="1"/>
        <v/>
      </c>
      <c r="H398" s="10">
        <f t="shared" si="2"/>
        <v>7285</v>
      </c>
      <c r="I398" s="10">
        <f t="shared" si="3"/>
        <v>7</v>
      </c>
    </row>
    <row r="399" ht="15.75" customHeight="1">
      <c r="A399" s="8">
        <v>44013.0</v>
      </c>
      <c r="B399" s="9">
        <v>3.0</v>
      </c>
      <c r="C399" s="9">
        <v>161.0</v>
      </c>
      <c r="D399" s="10" t="s">
        <v>31</v>
      </c>
      <c r="E399" s="10" t="s">
        <v>17</v>
      </c>
      <c r="F399" s="10" t="s">
        <v>482</v>
      </c>
      <c r="G399" s="10">
        <f t="shared" si="1"/>
        <v>161</v>
      </c>
      <c r="H399" s="9" t="str">
        <f t="shared" si="2"/>
        <v/>
      </c>
      <c r="I399" s="10">
        <f t="shared" si="3"/>
        <v>7</v>
      </c>
    </row>
    <row r="400" ht="15.75" customHeight="1">
      <c r="A400" s="8">
        <v>44014.0</v>
      </c>
      <c r="B400" s="9">
        <v>6.0</v>
      </c>
      <c r="C400" s="9">
        <v>2480.0</v>
      </c>
      <c r="D400" s="10" t="s">
        <v>95</v>
      </c>
      <c r="E400" s="10" t="s">
        <v>17</v>
      </c>
      <c r="F400" s="10" t="s">
        <v>483</v>
      </c>
      <c r="G400" s="10">
        <f t="shared" si="1"/>
        <v>2480</v>
      </c>
      <c r="H400" s="9" t="str">
        <f t="shared" si="2"/>
        <v/>
      </c>
      <c r="I400" s="10">
        <f t="shared" si="3"/>
        <v>7</v>
      </c>
    </row>
    <row r="401" ht="15.75" customHeight="1">
      <c r="A401" s="8">
        <v>44014.0</v>
      </c>
      <c r="B401" s="9">
        <v>6.0</v>
      </c>
      <c r="C401" s="9">
        <v>3481.0</v>
      </c>
      <c r="D401" s="10" t="s">
        <v>34</v>
      </c>
      <c r="E401" s="10" t="s">
        <v>17</v>
      </c>
      <c r="F401" s="10" t="s">
        <v>484</v>
      </c>
      <c r="G401" s="10">
        <f t="shared" si="1"/>
        <v>3481</v>
      </c>
      <c r="H401" s="9" t="str">
        <f t="shared" si="2"/>
        <v/>
      </c>
      <c r="I401" s="10">
        <f t="shared" si="3"/>
        <v>7</v>
      </c>
    </row>
    <row r="402" ht="15.75" customHeight="1">
      <c r="A402" s="8">
        <v>44015.0</v>
      </c>
      <c r="B402" s="9">
        <v>5.0</v>
      </c>
      <c r="C402" s="9">
        <v>394.0</v>
      </c>
      <c r="D402" s="10" t="s">
        <v>31</v>
      </c>
      <c r="E402" s="10" t="s">
        <v>17</v>
      </c>
      <c r="F402" s="10" t="s">
        <v>485</v>
      </c>
      <c r="G402" s="10">
        <f t="shared" si="1"/>
        <v>394</v>
      </c>
      <c r="H402" s="9" t="str">
        <f t="shared" si="2"/>
        <v/>
      </c>
      <c r="I402" s="10">
        <f t="shared" si="3"/>
        <v>7</v>
      </c>
    </row>
    <row r="403" ht="15.75" customHeight="1">
      <c r="A403" s="8">
        <v>44015.0</v>
      </c>
      <c r="B403" s="9">
        <v>8.0</v>
      </c>
      <c r="C403" s="9">
        <v>854.0</v>
      </c>
      <c r="D403" s="10" t="s">
        <v>15</v>
      </c>
      <c r="E403" s="10" t="s">
        <v>29</v>
      </c>
      <c r="F403" s="10" t="s">
        <v>486</v>
      </c>
      <c r="G403" s="9" t="str">
        <f t="shared" si="1"/>
        <v/>
      </c>
      <c r="H403" s="10">
        <f t="shared" si="2"/>
        <v>854</v>
      </c>
      <c r="I403" s="10">
        <f t="shared" si="3"/>
        <v>7</v>
      </c>
    </row>
    <row r="404" ht="15.75" customHeight="1">
      <c r="A404" s="8">
        <v>44015.0</v>
      </c>
      <c r="B404" s="9">
        <v>4.0</v>
      </c>
      <c r="C404" s="9">
        <v>4573.0</v>
      </c>
      <c r="D404" s="10" t="s">
        <v>31</v>
      </c>
      <c r="E404" s="10" t="s">
        <v>17</v>
      </c>
      <c r="F404" s="10" t="s">
        <v>487</v>
      </c>
      <c r="G404" s="10">
        <f t="shared" si="1"/>
        <v>4573</v>
      </c>
      <c r="H404" s="9" t="str">
        <f t="shared" si="2"/>
        <v/>
      </c>
      <c r="I404" s="10">
        <f t="shared" si="3"/>
        <v>7</v>
      </c>
    </row>
    <row r="405" ht="15.75" customHeight="1">
      <c r="A405" s="8">
        <v>44016.0</v>
      </c>
      <c r="B405" s="9">
        <v>1.0</v>
      </c>
      <c r="C405" s="9">
        <v>4377.0</v>
      </c>
      <c r="D405" s="10" t="s">
        <v>95</v>
      </c>
      <c r="E405" s="10" t="s">
        <v>17</v>
      </c>
      <c r="F405" s="10" t="s">
        <v>488</v>
      </c>
      <c r="G405" s="10">
        <f t="shared" si="1"/>
        <v>4377</v>
      </c>
      <c r="H405" s="9" t="str">
        <f t="shared" si="2"/>
        <v/>
      </c>
      <c r="I405" s="10">
        <f t="shared" si="3"/>
        <v>7</v>
      </c>
    </row>
    <row r="406" ht="15.75" customHeight="1">
      <c r="A406" s="8">
        <v>44016.0</v>
      </c>
      <c r="B406" s="9">
        <v>5.0</v>
      </c>
      <c r="C406" s="9">
        <v>6132.0</v>
      </c>
      <c r="D406" s="10" t="s">
        <v>15</v>
      </c>
      <c r="E406" s="10" t="s">
        <v>29</v>
      </c>
      <c r="F406" s="10" t="s">
        <v>489</v>
      </c>
      <c r="G406" s="9" t="str">
        <f t="shared" si="1"/>
        <v/>
      </c>
      <c r="H406" s="10">
        <f t="shared" si="2"/>
        <v>6132</v>
      </c>
      <c r="I406" s="10">
        <f t="shared" si="3"/>
        <v>7</v>
      </c>
    </row>
    <row r="407" ht="15.75" customHeight="1">
      <c r="A407" s="8">
        <v>44017.0</v>
      </c>
      <c r="B407" s="9">
        <v>2.0</v>
      </c>
      <c r="C407" s="9">
        <v>5935.0</v>
      </c>
      <c r="D407" s="10" t="s">
        <v>31</v>
      </c>
      <c r="E407" s="10" t="s">
        <v>17</v>
      </c>
      <c r="F407" s="10" t="s">
        <v>490</v>
      </c>
      <c r="G407" s="10">
        <f t="shared" si="1"/>
        <v>5935</v>
      </c>
      <c r="H407" s="9" t="str">
        <f t="shared" si="2"/>
        <v/>
      </c>
      <c r="I407" s="10">
        <f t="shared" si="3"/>
        <v>7</v>
      </c>
    </row>
    <row r="408" ht="15.75" customHeight="1">
      <c r="A408" s="8">
        <v>44018.0</v>
      </c>
      <c r="B408" s="9">
        <v>6.0</v>
      </c>
      <c r="C408" s="9">
        <v>8049.0</v>
      </c>
      <c r="D408" s="10" t="s">
        <v>31</v>
      </c>
      <c r="E408" s="10" t="s">
        <v>29</v>
      </c>
      <c r="F408" s="10" t="s">
        <v>491</v>
      </c>
      <c r="G408" s="9" t="str">
        <f t="shared" si="1"/>
        <v/>
      </c>
      <c r="H408" s="9" t="str">
        <f t="shared" si="2"/>
        <v/>
      </c>
      <c r="I408" s="10">
        <f t="shared" si="3"/>
        <v>7</v>
      </c>
    </row>
    <row r="409" ht="15.75" customHeight="1">
      <c r="A409" s="8">
        <v>44018.0</v>
      </c>
      <c r="B409" s="9">
        <v>2.0</v>
      </c>
      <c r="C409" s="9">
        <v>6071.0</v>
      </c>
      <c r="D409" s="10" t="s">
        <v>15</v>
      </c>
      <c r="E409" s="10" t="s">
        <v>17</v>
      </c>
      <c r="F409" s="10" t="s">
        <v>492</v>
      </c>
      <c r="G409" s="10">
        <f t="shared" si="1"/>
        <v>6071</v>
      </c>
      <c r="H409" s="9" t="str">
        <f t="shared" si="2"/>
        <v/>
      </c>
      <c r="I409" s="10">
        <f t="shared" si="3"/>
        <v>7</v>
      </c>
    </row>
    <row r="410" ht="15.75" customHeight="1">
      <c r="A410" s="8">
        <v>44018.0</v>
      </c>
      <c r="B410" s="9">
        <v>10.0</v>
      </c>
      <c r="C410" s="9">
        <v>8905.0</v>
      </c>
      <c r="D410" s="10" t="s">
        <v>15</v>
      </c>
      <c r="E410" s="10" t="s">
        <v>29</v>
      </c>
      <c r="F410" s="10" t="s">
        <v>493</v>
      </c>
      <c r="G410" s="9" t="str">
        <f t="shared" si="1"/>
        <v/>
      </c>
      <c r="H410" s="10">
        <f t="shared" si="2"/>
        <v>8905</v>
      </c>
      <c r="I410" s="10">
        <f t="shared" si="3"/>
        <v>7</v>
      </c>
    </row>
    <row r="411" ht="15.75" customHeight="1">
      <c r="A411" s="8">
        <v>44018.0</v>
      </c>
      <c r="B411" s="9">
        <v>6.0</v>
      </c>
      <c r="C411" s="9">
        <v>5206.0</v>
      </c>
      <c r="D411" s="10" t="s">
        <v>15</v>
      </c>
      <c r="E411" s="10" t="s">
        <v>17</v>
      </c>
      <c r="F411" s="10" t="s">
        <v>494</v>
      </c>
      <c r="G411" s="10">
        <f t="shared" si="1"/>
        <v>5206</v>
      </c>
      <c r="H411" s="9" t="str">
        <f t="shared" si="2"/>
        <v/>
      </c>
      <c r="I411" s="10">
        <f t="shared" si="3"/>
        <v>7</v>
      </c>
    </row>
    <row r="412" ht="15.75" customHeight="1">
      <c r="A412" s="8">
        <v>44019.0</v>
      </c>
      <c r="B412" s="9">
        <v>6.0</v>
      </c>
      <c r="C412" s="9">
        <v>8454.0</v>
      </c>
      <c r="D412" s="10" t="s">
        <v>15</v>
      </c>
      <c r="E412" s="10" t="s">
        <v>29</v>
      </c>
      <c r="F412" s="10" t="s">
        <v>495</v>
      </c>
      <c r="G412" s="9" t="str">
        <f t="shared" si="1"/>
        <v/>
      </c>
      <c r="H412" s="10">
        <f t="shared" si="2"/>
        <v>8454</v>
      </c>
      <c r="I412" s="10">
        <f t="shared" si="3"/>
        <v>7</v>
      </c>
    </row>
    <row r="413" ht="15.75" customHeight="1">
      <c r="A413" s="8">
        <v>44019.0</v>
      </c>
      <c r="B413" s="9">
        <v>8.0</v>
      </c>
      <c r="C413" s="9">
        <v>4501.0</v>
      </c>
      <c r="D413" s="10" t="s">
        <v>31</v>
      </c>
      <c r="E413" s="10" t="s">
        <v>29</v>
      </c>
      <c r="F413" s="10" t="s">
        <v>496</v>
      </c>
      <c r="G413" s="9" t="str">
        <f t="shared" si="1"/>
        <v/>
      </c>
      <c r="H413" s="9" t="str">
        <f t="shared" si="2"/>
        <v/>
      </c>
      <c r="I413" s="10">
        <f t="shared" si="3"/>
        <v>7</v>
      </c>
    </row>
    <row r="414" ht="15.75" customHeight="1">
      <c r="A414" s="8">
        <v>44019.0</v>
      </c>
      <c r="B414" s="9">
        <v>7.0</v>
      </c>
      <c r="C414" s="9">
        <v>980.0</v>
      </c>
      <c r="D414" s="10" t="s">
        <v>42</v>
      </c>
      <c r="E414" s="10" t="s">
        <v>17</v>
      </c>
      <c r="F414" s="10" t="s">
        <v>497</v>
      </c>
      <c r="G414" s="10">
        <f t="shared" si="1"/>
        <v>980</v>
      </c>
      <c r="H414" s="9" t="str">
        <f t="shared" si="2"/>
        <v/>
      </c>
      <c r="I414" s="10">
        <f t="shared" si="3"/>
        <v>7</v>
      </c>
    </row>
    <row r="415" ht="15.75" customHeight="1">
      <c r="A415" s="8">
        <v>44020.0</v>
      </c>
      <c r="B415" s="9">
        <v>3.0</v>
      </c>
      <c r="C415" s="9">
        <v>7680.0</v>
      </c>
      <c r="D415" s="10" t="s">
        <v>31</v>
      </c>
      <c r="E415" s="10" t="s">
        <v>29</v>
      </c>
      <c r="F415" s="10" t="s">
        <v>498</v>
      </c>
      <c r="G415" s="9" t="str">
        <f t="shared" si="1"/>
        <v/>
      </c>
      <c r="H415" s="9" t="str">
        <f t="shared" si="2"/>
        <v/>
      </c>
      <c r="I415" s="10">
        <f t="shared" si="3"/>
        <v>7</v>
      </c>
    </row>
    <row r="416" ht="15.75" customHeight="1">
      <c r="A416" s="8">
        <v>44021.0</v>
      </c>
      <c r="B416" s="9">
        <v>9.0</v>
      </c>
      <c r="C416" s="9">
        <v>822.0</v>
      </c>
      <c r="D416" s="10" t="s">
        <v>34</v>
      </c>
      <c r="E416" s="10" t="s">
        <v>17</v>
      </c>
      <c r="F416" s="10" t="s">
        <v>499</v>
      </c>
      <c r="G416" s="10">
        <f t="shared" si="1"/>
        <v>822</v>
      </c>
      <c r="H416" s="9" t="str">
        <f t="shared" si="2"/>
        <v/>
      </c>
      <c r="I416" s="10">
        <f t="shared" si="3"/>
        <v>7</v>
      </c>
    </row>
    <row r="417" ht="15.75" customHeight="1">
      <c r="A417" s="8">
        <v>44021.0</v>
      </c>
      <c r="B417" s="9">
        <v>10.0</v>
      </c>
      <c r="C417" s="9">
        <v>9887.0</v>
      </c>
      <c r="D417" s="10" t="s">
        <v>15</v>
      </c>
      <c r="E417" s="10" t="s">
        <v>29</v>
      </c>
      <c r="F417" s="10" t="s">
        <v>500</v>
      </c>
      <c r="G417" s="9" t="str">
        <f t="shared" si="1"/>
        <v/>
      </c>
      <c r="H417" s="10">
        <f t="shared" si="2"/>
        <v>9887</v>
      </c>
      <c r="I417" s="10">
        <f t="shared" si="3"/>
        <v>7</v>
      </c>
    </row>
    <row r="418" ht="15.75" customHeight="1">
      <c r="A418" s="8">
        <v>44021.0</v>
      </c>
      <c r="B418" s="9">
        <v>7.0</v>
      </c>
      <c r="C418" s="9">
        <v>1296.0</v>
      </c>
      <c r="D418" s="10" t="s">
        <v>95</v>
      </c>
      <c r="E418" s="10" t="s">
        <v>17</v>
      </c>
      <c r="F418" s="10" t="s">
        <v>501</v>
      </c>
      <c r="G418" s="10">
        <f t="shared" si="1"/>
        <v>1296</v>
      </c>
      <c r="H418" s="9" t="str">
        <f t="shared" si="2"/>
        <v/>
      </c>
      <c r="I418" s="10">
        <f t="shared" si="3"/>
        <v>7</v>
      </c>
    </row>
    <row r="419" ht="15.75" customHeight="1">
      <c r="A419" s="8">
        <v>44021.0</v>
      </c>
      <c r="B419" s="9">
        <v>3.0</v>
      </c>
      <c r="C419" s="9">
        <v>5371.0</v>
      </c>
      <c r="D419" s="10" t="s">
        <v>31</v>
      </c>
      <c r="E419" s="10" t="s">
        <v>29</v>
      </c>
      <c r="F419" s="10" t="s">
        <v>502</v>
      </c>
      <c r="G419" s="9" t="str">
        <f t="shared" si="1"/>
        <v/>
      </c>
      <c r="H419" s="9" t="str">
        <f t="shared" si="2"/>
        <v/>
      </c>
      <c r="I419" s="10">
        <f t="shared" si="3"/>
        <v>7</v>
      </c>
    </row>
    <row r="420" ht="15.75" customHeight="1">
      <c r="A420" s="8">
        <v>44021.0</v>
      </c>
      <c r="B420" s="9">
        <v>5.0</v>
      </c>
      <c r="C420" s="9">
        <v>206.0</v>
      </c>
      <c r="D420" s="10" t="s">
        <v>15</v>
      </c>
      <c r="E420" s="10" t="s">
        <v>29</v>
      </c>
      <c r="F420" s="10" t="s">
        <v>503</v>
      </c>
      <c r="G420" s="9" t="str">
        <f t="shared" si="1"/>
        <v/>
      </c>
      <c r="H420" s="10">
        <f t="shared" si="2"/>
        <v>206</v>
      </c>
      <c r="I420" s="10">
        <f t="shared" si="3"/>
        <v>7</v>
      </c>
    </row>
    <row r="421" ht="15.75" customHeight="1">
      <c r="A421" s="8">
        <v>44021.0</v>
      </c>
      <c r="B421" s="9">
        <v>4.0</v>
      </c>
      <c r="C421" s="9">
        <v>4528.0</v>
      </c>
      <c r="D421" s="10" t="s">
        <v>34</v>
      </c>
      <c r="E421" s="10" t="s">
        <v>17</v>
      </c>
      <c r="F421" s="10" t="s">
        <v>504</v>
      </c>
      <c r="G421" s="10">
        <f t="shared" si="1"/>
        <v>4528</v>
      </c>
      <c r="H421" s="9" t="str">
        <f t="shared" si="2"/>
        <v/>
      </c>
      <c r="I421" s="10">
        <f t="shared" si="3"/>
        <v>7</v>
      </c>
    </row>
    <row r="422" ht="15.75" customHeight="1">
      <c r="A422" s="8">
        <v>44022.0</v>
      </c>
      <c r="B422" s="9">
        <v>4.0</v>
      </c>
      <c r="C422" s="9">
        <v>4627.0</v>
      </c>
      <c r="D422" s="10" t="s">
        <v>15</v>
      </c>
      <c r="E422" s="10" t="s">
        <v>17</v>
      </c>
      <c r="F422" s="10" t="s">
        <v>505</v>
      </c>
      <c r="G422" s="10">
        <f t="shared" si="1"/>
        <v>4627</v>
      </c>
      <c r="H422" s="9" t="str">
        <f t="shared" si="2"/>
        <v/>
      </c>
      <c r="I422" s="10">
        <f t="shared" si="3"/>
        <v>7</v>
      </c>
    </row>
    <row r="423" ht="15.75" customHeight="1">
      <c r="A423" s="8">
        <v>44022.0</v>
      </c>
      <c r="B423" s="9">
        <v>2.0</v>
      </c>
      <c r="C423" s="9">
        <v>608.0</v>
      </c>
      <c r="D423" s="10" t="s">
        <v>15</v>
      </c>
      <c r="E423" s="10" t="s">
        <v>29</v>
      </c>
      <c r="F423" s="10" t="s">
        <v>506</v>
      </c>
      <c r="G423" s="9" t="str">
        <f t="shared" si="1"/>
        <v/>
      </c>
      <c r="H423" s="10">
        <f t="shared" si="2"/>
        <v>608</v>
      </c>
      <c r="I423" s="10">
        <f t="shared" si="3"/>
        <v>7</v>
      </c>
    </row>
    <row r="424" ht="15.75" customHeight="1">
      <c r="A424" s="8">
        <v>44023.0</v>
      </c>
      <c r="B424" s="9">
        <v>8.0</v>
      </c>
      <c r="C424" s="9">
        <v>5938.0</v>
      </c>
      <c r="D424" s="10" t="s">
        <v>15</v>
      </c>
      <c r="E424" s="10" t="s">
        <v>17</v>
      </c>
      <c r="F424" s="10" t="s">
        <v>507</v>
      </c>
      <c r="G424" s="10">
        <f t="shared" si="1"/>
        <v>5938</v>
      </c>
      <c r="H424" s="9" t="str">
        <f t="shared" si="2"/>
        <v/>
      </c>
      <c r="I424" s="10">
        <f t="shared" si="3"/>
        <v>7</v>
      </c>
    </row>
    <row r="425" ht="15.75" customHeight="1">
      <c r="A425" s="8">
        <v>44023.0</v>
      </c>
      <c r="B425" s="9">
        <v>6.0</v>
      </c>
      <c r="C425" s="9">
        <v>992.0</v>
      </c>
      <c r="D425" s="10" t="s">
        <v>15</v>
      </c>
      <c r="E425" s="10" t="s">
        <v>29</v>
      </c>
      <c r="F425" s="10" t="s">
        <v>508</v>
      </c>
      <c r="G425" s="9" t="str">
        <f t="shared" si="1"/>
        <v/>
      </c>
      <c r="H425" s="10">
        <f t="shared" si="2"/>
        <v>992</v>
      </c>
      <c r="I425" s="10">
        <f t="shared" si="3"/>
        <v>7</v>
      </c>
    </row>
    <row r="426" ht="15.75" customHeight="1">
      <c r="A426" s="8">
        <v>44024.0</v>
      </c>
      <c r="B426" s="9">
        <v>8.0</v>
      </c>
      <c r="C426" s="9">
        <v>4752.0</v>
      </c>
      <c r="D426" s="10" t="s">
        <v>15</v>
      </c>
      <c r="E426" s="10" t="s">
        <v>29</v>
      </c>
      <c r="F426" s="10" t="s">
        <v>509</v>
      </c>
      <c r="G426" s="9" t="str">
        <f t="shared" si="1"/>
        <v/>
      </c>
      <c r="H426" s="10">
        <f t="shared" si="2"/>
        <v>4752</v>
      </c>
      <c r="I426" s="10">
        <f t="shared" si="3"/>
        <v>7</v>
      </c>
    </row>
    <row r="427" ht="15.75" customHeight="1">
      <c r="A427" s="8">
        <v>44024.0</v>
      </c>
      <c r="B427" s="9">
        <v>7.0</v>
      </c>
      <c r="C427" s="9">
        <v>2748.0</v>
      </c>
      <c r="D427" s="10" t="s">
        <v>31</v>
      </c>
      <c r="E427" s="10" t="s">
        <v>17</v>
      </c>
      <c r="F427" s="10" t="s">
        <v>510</v>
      </c>
      <c r="G427" s="10">
        <f t="shared" si="1"/>
        <v>2748</v>
      </c>
      <c r="H427" s="9" t="str">
        <f t="shared" si="2"/>
        <v/>
      </c>
      <c r="I427" s="10">
        <f t="shared" si="3"/>
        <v>7</v>
      </c>
    </row>
    <row r="428" ht="15.75" customHeight="1">
      <c r="A428" s="8">
        <v>44025.0</v>
      </c>
      <c r="B428" s="9">
        <v>2.0</v>
      </c>
      <c r="C428" s="9">
        <v>507.0</v>
      </c>
      <c r="D428" s="10" t="s">
        <v>15</v>
      </c>
      <c r="E428" s="10" t="s">
        <v>29</v>
      </c>
      <c r="F428" s="10" t="s">
        <v>511</v>
      </c>
      <c r="G428" s="9" t="str">
        <f t="shared" si="1"/>
        <v/>
      </c>
      <c r="H428" s="10">
        <f t="shared" si="2"/>
        <v>507</v>
      </c>
      <c r="I428" s="10">
        <f t="shared" si="3"/>
        <v>7</v>
      </c>
    </row>
    <row r="429" ht="15.75" customHeight="1">
      <c r="A429" s="8">
        <v>44025.0</v>
      </c>
      <c r="B429" s="9">
        <v>10.0</v>
      </c>
      <c r="C429" s="9">
        <v>8185.0</v>
      </c>
      <c r="D429" s="10" t="s">
        <v>34</v>
      </c>
      <c r="E429" s="10" t="s">
        <v>17</v>
      </c>
      <c r="F429" s="10" t="s">
        <v>512</v>
      </c>
      <c r="G429" s="10">
        <f t="shared" si="1"/>
        <v>8185</v>
      </c>
      <c r="H429" s="9" t="str">
        <f t="shared" si="2"/>
        <v/>
      </c>
      <c r="I429" s="10">
        <f t="shared" si="3"/>
        <v>7</v>
      </c>
    </row>
    <row r="430" ht="15.75" customHeight="1">
      <c r="A430" s="8">
        <v>44026.0</v>
      </c>
      <c r="B430" s="9">
        <v>5.0</v>
      </c>
      <c r="C430" s="9">
        <v>9863.0</v>
      </c>
      <c r="D430" s="10" t="s">
        <v>15</v>
      </c>
      <c r="E430" s="10" t="s">
        <v>29</v>
      </c>
      <c r="F430" s="10" t="s">
        <v>513</v>
      </c>
      <c r="G430" s="9" t="str">
        <f t="shared" si="1"/>
        <v/>
      </c>
      <c r="H430" s="10">
        <f t="shared" si="2"/>
        <v>9863</v>
      </c>
      <c r="I430" s="10">
        <f t="shared" si="3"/>
        <v>7</v>
      </c>
    </row>
    <row r="431" ht="15.75" customHeight="1">
      <c r="A431" s="8">
        <v>44027.0</v>
      </c>
      <c r="B431" s="9">
        <v>6.0</v>
      </c>
      <c r="C431" s="9">
        <v>9543.0</v>
      </c>
      <c r="D431" s="10" t="s">
        <v>31</v>
      </c>
      <c r="E431" s="10" t="s">
        <v>29</v>
      </c>
      <c r="F431" s="10" t="s">
        <v>514</v>
      </c>
      <c r="G431" s="9" t="str">
        <f t="shared" si="1"/>
        <v/>
      </c>
      <c r="H431" s="9" t="str">
        <f t="shared" si="2"/>
        <v/>
      </c>
      <c r="I431" s="10">
        <f t="shared" si="3"/>
        <v>7</v>
      </c>
    </row>
    <row r="432" ht="15.75" customHeight="1">
      <c r="A432" s="8">
        <v>44027.0</v>
      </c>
      <c r="B432" s="9">
        <v>6.0</v>
      </c>
      <c r="C432" s="9">
        <v>2398.0</v>
      </c>
      <c r="D432" s="10" t="s">
        <v>31</v>
      </c>
      <c r="E432" s="10" t="s">
        <v>17</v>
      </c>
      <c r="F432" s="10" t="s">
        <v>515</v>
      </c>
      <c r="G432" s="10">
        <f t="shared" si="1"/>
        <v>2398</v>
      </c>
      <c r="H432" s="9" t="str">
        <f t="shared" si="2"/>
        <v/>
      </c>
      <c r="I432" s="10">
        <f t="shared" si="3"/>
        <v>7</v>
      </c>
    </row>
    <row r="433" ht="15.75" customHeight="1">
      <c r="A433" s="8">
        <v>44028.0</v>
      </c>
      <c r="B433" s="9">
        <v>4.0</v>
      </c>
      <c r="C433" s="9">
        <v>7834.0</v>
      </c>
      <c r="D433" s="10" t="s">
        <v>15</v>
      </c>
      <c r="E433" s="10" t="s">
        <v>17</v>
      </c>
      <c r="F433" s="10" t="s">
        <v>516</v>
      </c>
      <c r="G433" s="10">
        <f t="shared" si="1"/>
        <v>7834</v>
      </c>
      <c r="H433" s="9" t="str">
        <f t="shared" si="2"/>
        <v/>
      </c>
      <c r="I433" s="10">
        <f t="shared" si="3"/>
        <v>7</v>
      </c>
    </row>
    <row r="434" ht="15.75" customHeight="1">
      <c r="A434" s="8">
        <v>44029.0</v>
      </c>
      <c r="B434" s="9">
        <v>1.0</v>
      </c>
      <c r="C434" s="9">
        <v>5882.0</v>
      </c>
      <c r="D434" s="10" t="s">
        <v>34</v>
      </c>
      <c r="E434" s="10" t="s">
        <v>17</v>
      </c>
      <c r="F434" s="10" t="s">
        <v>517</v>
      </c>
      <c r="G434" s="10">
        <f t="shared" si="1"/>
        <v>5882</v>
      </c>
      <c r="H434" s="9" t="str">
        <f t="shared" si="2"/>
        <v/>
      </c>
      <c r="I434" s="10">
        <f t="shared" si="3"/>
        <v>7</v>
      </c>
    </row>
    <row r="435" ht="15.75" customHeight="1">
      <c r="A435" s="8">
        <v>44030.0</v>
      </c>
      <c r="B435" s="9">
        <v>9.0</v>
      </c>
      <c r="C435" s="9">
        <v>1591.0</v>
      </c>
      <c r="D435" s="10" t="s">
        <v>15</v>
      </c>
      <c r="E435" s="10" t="s">
        <v>17</v>
      </c>
      <c r="F435" s="10" t="s">
        <v>518</v>
      </c>
      <c r="G435" s="10">
        <f t="shared" si="1"/>
        <v>1591</v>
      </c>
      <c r="H435" s="9" t="str">
        <f t="shared" si="2"/>
        <v/>
      </c>
      <c r="I435" s="10">
        <f t="shared" si="3"/>
        <v>7</v>
      </c>
    </row>
    <row r="436" ht="15.75" customHeight="1">
      <c r="A436" s="8">
        <v>44030.0</v>
      </c>
      <c r="B436" s="9">
        <v>7.0</v>
      </c>
      <c r="C436" s="9">
        <v>4636.0</v>
      </c>
      <c r="D436" s="10" t="s">
        <v>34</v>
      </c>
      <c r="E436" s="10" t="s">
        <v>29</v>
      </c>
      <c r="F436" s="10" t="s">
        <v>519</v>
      </c>
      <c r="G436" s="9" t="str">
        <f t="shared" si="1"/>
        <v/>
      </c>
      <c r="H436" s="9" t="str">
        <f t="shared" si="2"/>
        <v/>
      </c>
      <c r="I436" s="10">
        <f t="shared" si="3"/>
        <v>7</v>
      </c>
    </row>
    <row r="437" ht="15.75" customHeight="1">
      <c r="A437" s="8">
        <v>44030.0</v>
      </c>
      <c r="B437" s="9">
        <v>5.0</v>
      </c>
      <c r="C437" s="9">
        <v>2920.0</v>
      </c>
      <c r="D437" s="10" t="s">
        <v>15</v>
      </c>
      <c r="E437" s="10" t="s">
        <v>17</v>
      </c>
      <c r="F437" s="10" t="s">
        <v>520</v>
      </c>
      <c r="G437" s="10">
        <f t="shared" si="1"/>
        <v>2920</v>
      </c>
      <c r="H437" s="9" t="str">
        <f t="shared" si="2"/>
        <v/>
      </c>
      <c r="I437" s="10">
        <f t="shared" si="3"/>
        <v>7</v>
      </c>
    </row>
    <row r="438" ht="15.75" customHeight="1">
      <c r="A438" s="8">
        <v>44031.0</v>
      </c>
      <c r="B438" s="9">
        <v>2.0</v>
      </c>
      <c r="C438" s="9">
        <v>4552.0</v>
      </c>
      <c r="D438" s="10" t="s">
        <v>15</v>
      </c>
      <c r="E438" s="10" t="s">
        <v>17</v>
      </c>
      <c r="F438" s="10" t="s">
        <v>521</v>
      </c>
      <c r="G438" s="10">
        <f t="shared" si="1"/>
        <v>4552</v>
      </c>
      <c r="H438" s="9" t="str">
        <f t="shared" si="2"/>
        <v/>
      </c>
      <c r="I438" s="10">
        <f t="shared" si="3"/>
        <v>7</v>
      </c>
    </row>
    <row r="439" ht="15.75" customHeight="1">
      <c r="A439" s="8">
        <v>44031.0</v>
      </c>
      <c r="B439" s="9">
        <v>5.0</v>
      </c>
      <c r="C439" s="9">
        <v>5722.0</v>
      </c>
      <c r="D439" s="10" t="s">
        <v>15</v>
      </c>
      <c r="E439" s="10" t="s">
        <v>29</v>
      </c>
      <c r="F439" s="10" t="s">
        <v>522</v>
      </c>
      <c r="G439" s="9" t="str">
        <f t="shared" si="1"/>
        <v/>
      </c>
      <c r="H439" s="10">
        <f t="shared" si="2"/>
        <v>5722</v>
      </c>
      <c r="I439" s="10">
        <f t="shared" si="3"/>
        <v>7</v>
      </c>
    </row>
    <row r="440" ht="15.75" customHeight="1">
      <c r="A440" s="8">
        <v>44032.0</v>
      </c>
      <c r="B440" s="9">
        <v>9.0</v>
      </c>
      <c r="C440" s="9">
        <v>8330.0</v>
      </c>
      <c r="D440" s="10" t="s">
        <v>15</v>
      </c>
      <c r="E440" s="10" t="s">
        <v>17</v>
      </c>
      <c r="F440" s="10" t="s">
        <v>523</v>
      </c>
      <c r="G440" s="10">
        <f t="shared" si="1"/>
        <v>8330</v>
      </c>
      <c r="H440" s="9" t="str">
        <f t="shared" si="2"/>
        <v/>
      </c>
      <c r="I440" s="10">
        <f t="shared" si="3"/>
        <v>7</v>
      </c>
    </row>
    <row r="441" ht="15.75" customHeight="1">
      <c r="A441" s="8">
        <v>44033.0</v>
      </c>
      <c r="B441" s="9">
        <v>10.0</v>
      </c>
      <c r="C441" s="9">
        <v>7442.0</v>
      </c>
      <c r="D441" s="10" t="s">
        <v>34</v>
      </c>
      <c r="E441" s="10" t="s">
        <v>29</v>
      </c>
      <c r="F441" s="10" t="s">
        <v>524</v>
      </c>
      <c r="G441" s="9" t="str">
        <f t="shared" si="1"/>
        <v/>
      </c>
      <c r="H441" s="9" t="str">
        <f t="shared" si="2"/>
        <v/>
      </c>
      <c r="I441" s="10">
        <f t="shared" si="3"/>
        <v>7</v>
      </c>
    </row>
    <row r="442" ht="15.75" customHeight="1">
      <c r="A442" s="8">
        <v>44033.0</v>
      </c>
      <c r="B442" s="9">
        <v>10.0</v>
      </c>
      <c r="C442" s="9">
        <v>463.0</v>
      </c>
      <c r="D442" s="10" t="s">
        <v>34</v>
      </c>
      <c r="E442" s="10" t="s">
        <v>17</v>
      </c>
      <c r="F442" s="10" t="s">
        <v>525</v>
      </c>
      <c r="G442" s="10">
        <f t="shared" si="1"/>
        <v>463</v>
      </c>
      <c r="H442" s="9" t="str">
        <f t="shared" si="2"/>
        <v/>
      </c>
      <c r="I442" s="10">
        <f t="shared" si="3"/>
        <v>7</v>
      </c>
    </row>
    <row r="443" ht="15.75" customHeight="1">
      <c r="A443" s="8">
        <v>44033.0</v>
      </c>
      <c r="B443" s="9">
        <v>8.0</v>
      </c>
      <c r="C443" s="9">
        <v>2996.0</v>
      </c>
      <c r="D443" s="10" t="s">
        <v>34</v>
      </c>
      <c r="E443" s="10" t="s">
        <v>17</v>
      </c>
      <c r="F443" s="10" t="s">
        <v>526</v>
      </c>
      <c r="G443" s="10">
        <f t="shared" si="1"/>
        <v>2996</v>
      </c>
      <c r="H443" s="9" t="str">
        <f t="shared" si="2"/>
        <v/>
      </c>
      <c r="I443" s="10">
        <f t="shared" si="3"/>
        <v>7</v>
      </c>
    </row>
    <row r="444" ht="15.75" customHeight="1">
      <c r="A444" s="8">
        <v>44034.0</v>
      </c>
      <c r="B444" s="9">
        <v>4.0</v>
      </c>
      <c r="C444" s="9">
        <v>2442.0</v>
      </c>
      <c r="D444" s="10" t="s">
        <v>15</v>
      </c>
      <c r="E444" s="10" t="s">
        <v>17</v>
      </c>
      <c r="F444" s="10" t="s">
        <v>527</v>
      </c>
      <c r="G444" s="10">
        <f t="shared" si="1"/>
        <v>2442</v>
      </c>
      <c r="H444" s="9" t="str">
        <f t="shared" si="2"/>
        <v/>
      </c>
      <c r="I444" s="10">
        <f t="shared" si="3"/>
        <v>7</v>
      </c>
    </row>
    <row r="445" ht="15.75" customHeight="1">
      <c r="A445" s="8">
        <v>44034.0</v>
      </c>
      <c r="B445" s="9">
        <v>7.0</v>
      </c>
      <c r="C445" s="9">
        <v>451.0</v>
      </c>
      <c r="D445" s="10" t="s">
        <v>15</v>
      </c>
      <c r="E445" s="10" t="s">
        <v>29</v>
      </c>
      <c r="F445" s="10" t="s">
        <v>528</v>
      </c>
      <c r="G445" s="9" t="str">
        <f t="shared" si="1"/>
        <v/>
      </c>
      <c r="H445" s="10">
        <f t="shared" si="2"/>
        <v>451</v>
      </c>
      <c r="I445" s="10">
        <f t="shared" si="3"/>
        <v>7</v>
      </c>
    </row>
    <row r="446" ht="15.75" customHeight="1">
      <c r="A446" s="8">
        <v>44034.0</v>
      </c>
      <c r="B446" s="9">
        <v>5.0</v>
      </c>
      <c r="C446" s="9">
        <v>2004.0</v>
      </c>
      <c r="D446" s="10" t="s">
        <v>15</v>
      </c>
      <c r="E446" s="10" t="s">
        <v>17</v>
      </c>
      <c r="F446" s="10" t="s">
        <v>529</v>
      </c>
      <c r="G446" s="10">
        <f t="shared" si="1"/>
        <v>2004</v>
      </c>
      <c r="H446" s="9" t="str">
        <f t="shared" si="2"/>
        <v/>
      </c>
      <c r="I446" s="10">
        <f t="shared" si="3"/>
        <v>7</v>
      </c>
    </row>
    <row r="447" ht="15.75" customHeight="1">
      <c r="A447" s="8">
        <v>44034.0</v>
      </c>
      <c r="B447" s="9">
        <v>8.0</v>
      </c>
      <c r="C447" s="9">
        <v>5812.0</v>
      </c>
      <c r="D447" s="10" t="s">
        <v>15</v>
      </c>
      <c r="E447" s="10" t="s">
        <v>17</v>
      </c>
      <c r="F447" s="10" t="s">
        <v>530</v>
      </c>
      <c r="G447" s="10">
        <f t="shared" si="1"/>
        <v>5812</v>
      </c>
      <c r="H447" s="9" t="str">
        <f t="shared" si="2"/>
        <v/>
      </c>
      <c r="I447" s="10">
        <f t="shared" si="3"/>
        <v>7</v>
      </c>
    </row>
    <row r="448" ht="15.75" customHeight="1">
      <c r="A448" s="8">
        <v>44035.0</v>
      </c>
      <c r="B448" s="9">
        <v>7.0</v>
      </c>
      <c r="C448" s="9">
        <v>5458.0</v>
      </c>
      <c r="D448" s="10" t="s">
        <v>31</v>
      </c>
      <c r="E448" s="10" t="s">
        <v>29</v>
      </c>
      <c r="F448" s="10" t="s">
        <v>531</v>
      </c>
      <c r="G448" s="9" t="str">
        <f t="shared" si="1"/>
        <v/>
      </c>
      <c r="H448" s="9" t="str">
        <f t="shared" si="2"/>
        <v/>
      </c>
      <c r="I448" s="10">
        <f t="shared" si="3"/>
        <v>7</v>
      </c>
    </row>
    <row r="449" ht="15.75" customHeight="1">
      <c r="A449" s="8">
        <v>44035.0</v>
      </c>
      <c r="B449" s="9">
        <v>5.0</v>
      </c>
      <c r="C449" s="9">
        <v>5373.0</v>
      </c>
      <c r="D449" s="10" t="s">
        <v>15</v>
      </c>
      <c r="E449" s="10" t="s">
        <v>17</v>
      </c>
      <c r="F449" s="10" t="s">
        <v>532</v>
      </c>
      <c r="G449" s="10">
        <f t="shared" si="1"/>
        <v>5373</v>
      </c>
      <c r="H449" s="9" t="str">
        <f t="shared" si="2"/>
        <v/>
      </c>
      <c r="I449" s="10">
        <f t="shared" si="3"/>
        <v>7</v>
      </c>
    </row>
    <row r="450" ht="15.75" customHeight="1">
      <c r="A450" s="8">
        <v>44037.0</v>
      </c>
      <c r="B450" s="9">
        <v>4.0</v>
      </c>
      <c r="C450" s="9">
        <v>4201.0</v>
      </c>
      <c r="D450" s="10" t="s">
        <v>15</v>
      </c>
      <c r="E450" s="10" t="s">
        <v>29</v>
      </c>
      <c r="F450" s="10" t="s">
        <v>533</v>
      </c>
      <c r="G450" s="9" t="str">
        <f t="shared" si="1"/>
        <v/>
      </c>
      <c r="H450" s="10">
        <f t="shared" si="2"/>
        <v>4201</v>
      </c>
      <c r="I450" s="10">
        <f t="shared" si="3"/>
        <v>7</v>
      </c>
    </row>
    <row r="451" ht="15.75" customHeight="1">
      <c r="A451" s="8">
        <v>44037.0</v>
      </c>
      <c r="B451" s="9">
        <v>4.0</v>
      </c>
      <c r="C451" s="9">
        <v>1217.0</v>
      </c>
      <c r="D451" s="10" t="s">
        <v>34</v>
      </c>
      <c r="E451" s="10" t="s">
        <v>29</v>
      </c>
      <c r="F451" s="10" t="s">
        <v>534</v>
      </c>
      <c r="G451" s="9" t="str">
        <f t="shared" si="1"/>
        <v/>
      </c>
      <c r="H451" s="9" t="str">
        <f t="shared" si="2"/>
        <v/>
      </c>
      <c r="I451" s="10">
        <f t="shared" si="3"/>
        <v>7</v>
      </c>
    </row>
    <row r="452" ht="15.75" customHeight="1">
      <c r="A452" s="8">
        <v>44038.0</v>
      </c>
      <c r="B452" s="9">
        <v>9.0</v>
      </c>
      <c r="C452" s="9">
        <v>8692.0</v>
      </c>
      <c r="D452" s="10" t="s">
        <v>15</v>
      </c>
      <c r="E452" s="10" t="s">
        <v>29</v>
      </c>
      <c r="F452" s="10" t="s">
        <v>535</v>
      </c>
      <c r="G452" s="9" t="str">
        <f t="shared" si="1"/>
        <v/>
      </c>
      <c r="H452" s="10">
        <f t="shared" si="2"/>
        <v>8692</v>
      </c>
      <c r="I452" s="10">
        <f t="shared" si="3"/>
        <v>7</v>
      </c>
    </row>
    <row r="453" ht="15.75" customHeight="1">
      <c r="A453" s="8">
        <v>44038.0</v>
      </c>
      <c r="B453" s="9">
        <v>4.0</v>
      </c>
      <c r="C453" s="9">
        <v>2721.0</v>
      </c>
      <c r="D453" s="10" t="s">
        <v>15</v>
      </c>
      <c r="E453" s="10" t="s">
        <v>29</v>
      </c>
      <c r="F453" s="10" t="s">
        <v>536</v>
      </c>
      <c r="G453" s="9" t="str">
        <f t="shared" si="1"/>
        <v/>
      </c>
      <c r="H453" s="10">
        <f t="shared" si="2"/>
        <v>2721</v>
      </c>
      <c r="I453" s="10">
        <f t="shared" si="3"/>
        <v>7</v>
      </c>
    </row>
    <row r="454" ht="15.75" customHeight="1">
      <c r="A454" s="8">
        <v>44038.0</v>
      </c>
      <c r="B454" s="9">
        <v>8.0</v>
      </c>
      <c r="C454" s="9">
        <v>2007.0</v>
      </c>
      <c r="D454" s="10" t="s">
        <v>34</v>
      </c>
      <c r="E454" s="10" t="s">
        <v>29</v>
      </c>
      <c r="F454" s="10" t="s">
        <v>537</v>
      </c>
      <c r="G454" s="9" t="str">
        <f t="shared" si="1"/>
        <v/>
      </c>
      <c r="H454" s="9" t="str">
        <f t="shared" si="2"/>
        <v/>
      </c>
      <c r="I454" s="10">
        <f t="shared" si="3"/>
        <v>7</v>
      </c>
    </row>
    <row r="455" ht="15.75" customHeight="1">
      <c r="A455" s="8">
        <v>44039.0</v>
      </c>
      <c r="B455" s="9">
        <v>4.0</v>
      </c>
      <c r="C455" s="9">
        <v>8250.0</v>
      </c>
      <c r="D455" s="10" t="s">
        <v>95</v>
      </c>
      <c r="E455" s="10" t="s">
        <v>29</v>
      </c>
      <c r="F455" s="10" t="s">
        <v>538</v>
      </c>
      <c r="G455" s="9" t="str">
        <f t="shared" si="1"/>
        <v/>
      </c>
      <c r="H455" s="9" t="str">
        <f t="shared" si="2"/>
        <v/>
      </c>
      <c r="I455" s="10">
        <f t="shared" si="3"/>
        <v>7</v>
      </c>
    </row>
    <row r="456" ht="15.75" customHeight="1">
      <c r="A456" s="8">
        <v>44040.0</v>
      </c>
      <c r="B456" s="9">
        <v>7.0</v>
      </c>
      <c r="C456" s="9">
        <v>8962.0</v>
      </c>
      <c r="D456" s="10" t="s">
        <v>15</v>
      </c>
      <c r="E456" s="10" t="s">
        <v>17</v>
      </c>
      <c r="F456" s="10" t="s">
        <v>539</v>
      </c>
      <c r="G456" s="10">
        <f t="shared" si="1"/>
        <v>8962</v>
      </c>
      <c r="H456" s="9" t="str">
        <f t="shared" si="2"/>
        <v/>
      </c>
      <c r="I456" s="10">
        <f t="shared" si="3"/>
        <v>7</v>
      </c>
    </row>
    <row r="457" ht="15.75" customHeight="1">
      <c r="A457" s="8">
        <v>44040.0</v>
      </c>
      <c r="B457" s="9">
        <v>8.0</v>
      </c>
      <c r="C457" s="9">
        <v>5689.0</v>
      </c>
      <c r="D457" s="10" t="s">
        <v>15</v>
      </c>
      <c r="E457" s="10" t="s">
        <v>29</v>
      </c>
      <c r="F457" s="10" t="s">
        <v>540</v>
      </c>
      <c r="G457" s="9" t="str">
        <f t="shared" si="1"/>
        <v/>
      </c>
      <c r="H457" s="10">
        <f t="shared" si="2"/>
        <v>5689</v>
      </c>
      <c r="I457" s="10">
        <f t="shared" si="3"/>
        <v>7</v>
      </c>
    </row>
    <row r="458" ht="15.75" customHeight="1">
      <c r="A458" s="8">
        <v>44040.0</v>
      </c>
      <c r="B458" s="9">
        <v>2.0</v>
      </c>
      <c r="C458" s="9">
        <v>8195.0</v>
      </c>
      <c r="D458" s="10" t="s">
        <v>15</v>
      </c>
      <c r="E458" s="10" t="s">
        <v>17</v>
      </c>
      <c r="F458" s="10" t="s">
        <v>541</v>
      </c>
      <c r="G458" s="10">
        <f t="shared" si="1"/>
        <v>8195</v>
      </c>
      <c r="H458" s="9" t="str">
        <f t="shared" si="2"/>
        <v/>
      </c>
      <c r="I458" s="10">
        <f t="shared" si="3"/>
        <v>7</v>
      </c>
    </row>
    <row r="459" ht="15.75" customHeight="1">
      <c r="A459" s="8">
        <v>44040.0</v>
      </c>
      <c r="B459" s="9">
        <v>8.0</v>
      </c>
      <c r="C459" s="9">
        <v>2339.0</v>
      </c>
      <c r="D459" s="10" t="s">
        <v>34</v>
      </c>
      <c r="E459" s="10" t="s">
        <v>17</v>
      </c>
      <c r="F459" s="10" t="s">
        <v>542</v>
      </c>
      <c r="G459" s="10">
        <f t="shared" si="1"/>
        <v>2339</v>
      </c>
      <c r="H459" s="9" t="str">
        <f t="shared" si="2"/>
        <v/>
      </c>
      <c r="I459" s="10">
        <f t="shared" si="3"/>
        <v>7</v>
      </c>
    </row>
    <row r="460" ht="15.75" customHeight="1">
      <c r="A460" s="8">
        <v>44041.0</v>
      </c>
      <c r="B460" s="9">
        <v>10.0</v>
      </c>
      <c r="C460" s="9">
        <v>7337.0</v>
      </c>
      <c r="D460" s="10" t="s">
        <v>34</v>
      </c>
      <c r="E460" s="10" t="s">
        <v>17</v>
      </c>
      <c r="F460" s="10" t="s">
        <v>543</v>
      </c>
      <c r="G460" s="10">
        <f t="shared" si="1"/>
        <v>7337</v>
      </c>
      <c r="H460" s="9" t="str">
        <f t="shared" si="2"/>
        <v/>
      </c>
      <c r="I460" s="10">
        <f t="shared" si="3"/>
        <v>7</v>
      </c>
    </row>
    <row r="461" ht="15.75" customHeight="1">
      <c r="A461" s="8">
        <v>44041.0</v>
      </c>
      <c r="B461" s="9">
        <v>1.0</v>
      </c>
      <c r="C461" s="9">
        <v>5412.0</v>
      </c>
      <c r="D461" s="10" t="s">
        <v>15</v>
      </c>
      <c r="E461" s="10" t="s">
        <v>29</v>
      </c>
      <c r="F461" s="10" t="s">
        <v>544</v>
      </c>
      <c r="G461" s="9" t="str">
        <f t="shared" si="1"/>
        <v/>
      </c>
      <c r="H461" s="10">
        <f t="shared" si="2"/>
        <v>5412</v>
      </c>
      <c r="I461" s="10">
        <f t="shared" si="3"/>
        <v>7</v>
      </c>
    </row>
    <row r="462" ht="15.75" customHeight="1">
      <c r="A462" s="8">
        <v>44042.0</v>
      </c>
      <c r="B462" s="9">
        <v>7.0</v>
      </c>
      <c r="C462" s="9">
        <v>7252.0</v>
      </c>
      <c r="D462" s="10" t="s">
        <v>15</v>
      </c>
      <c r="E462" s="10" t="s">
        <v>17</v>
      </c>
      <c r="F462" s="10" t="s">
        <v>545</v>
      </c>
      <c r="G462" s="10">
        <f t="shared" si="1"/>
        <v>7252</v>
      </c>
      <c r="H462" s="9" t="str">
        <f t="shared" si="2"/>
        <v/>
      </c>
      <c r="I462" s="10">
        <f t="shared" si="3"/>
        <v>7</v>
      </c>
    </row>
    <row r="463" ht="15.75" customHeight="1">
      <c r="A463" s="8">
        <v>44042.0</v>
      </c>
      <c r="B463" s="9">
        <v>9.0</v>
      </c>
      <c r="C463" s="9">
        <v>1724.0</v>
      </c>
      <c r="D463" s="10" t="s">
        <v>15</v>
      </c>
      <c r="E463" s="10" t="s">
        <v>29</v>
      </c>
      <c r="F463" s="10" t="s">
        <v>546</v>
      </c>
      <c r="G463" s="9" t="str">
        <f t="shared" si="1"/>
        <v/>
      </c>
      <c r="H463" s="10">
        <f t="shared" si="2"/>
        <v>1724</v>
      </c>
      <c r="I463" s="10">
        <f t="shared" si="3"/>
        <v>7</v>
      </c>
    </row>
    <row r="464" ht="15.75" customHeight="1">
      <c r="A464" s="8">
        <v>44043.0</v>
      </c>
      <c r="B464" s="9">
        <v>1.0</v>
      </c>
      <c r="C464" s="9">
        <v>4673.0</v>
      </c>
      <c r="D464" s="10" t="s">
        <v>34</v>
      </c>
      <c r="E464" s="10" t="s">
        <v>17</v>
      </c>
      <c r="F464" s="10" t="s">
        <v>547</v>
      </c>
      <c r="G464" s="10">
        <f t="shared" si="1"/>
        <v>4673</v>
      </c>
      <c r="H464" s="9" t="str">
        <f t="shared" si="2"/>
        <v/>
      </c>
      <c r="I464" s="10">
        <f t="shared" si="3"/>
        <v>7</v>
      </c>
    </row>
    <row r="465" ht="15.75" customHeight="1">
      <c r="A465" s="8">
        <v>44043.0</v>
      </c>
      <c r="B465" s="9">
        <v>1.0</v>
      </c>
      <c r="C465" s="9">
        <v>3810.0</v>
      </c>
      <c r="D465" s="10" t="s">
        <v>15</v>
      </c>
      <c r="E465" s="10" t="s">
        <v>29</v>
      </c>
      <c r="F465" s="10" t="s">
        <v>548</v>
      </c>
      <c r="G465" s="9" t="str">
        <f t="shared" si="1"/>
        <v/>
      </c>
      <c r="H465" s="10">
        <f t="shared" si="2"/>
        <v>3810</v>
      </c>
      <c r="I465" s="10">
        <f t="shared" si="3"/>
        <v>7</v>
      </c>
    </row>
    <row r="466" ht="15.75" customHeight="1">
      <c r="A466" s="8">
        <v>44043.0</v>
      </c>
      <c r="B466" s="9">
        <v>4.0</v>
      </c>
      <c r="C466" s="9">
        <v>9220.0</v>
      </c>
      <c r="D466" s="10" t="s">
        <v>31</v>
      </c>
      <c r="E466" s="10" t="s">
        <v>29</v>
      </c>
      <c r="F466" s="10" t="s">
        <v>549</v>
      </c>
      <c r="G466" s="9" t="str">
        <f t="shared" si="1"/>
        <v/>
      </c>
      <c r="H466" s="9" t="str">
        <f t="shared" si="2"/>
        <v/>
      </c>
      <c r="I466" s="10">
        <f t="shared" si="3"/>
        <v>7</v>
      </c>
    </row>
    <row r="467" ht="15.75" customHeight="1">
      <c r="A467" s="8">
        <v>44043.0</v>
      </c>
      <c r="B467" s="9">
        <v>1.0</v>
      </c>
      <c r="C467" s="9">
        <v>2422.0</v>
      </c>
      <c r="D467" s="10" t="s">
        <v>34</v>
      </c>
      <c r="E467" s="10" t="s">
        <v>29</v>
      </c>
      <c r="F467" s="10" t="s">
        <v>550</v>
      </c>
      <c r="G467" s="9" t="str">
        <f t="shared" si="1"/>
        <v/>
      </c>
      <c r="H467" s="9" t="str">
        <f t="shared" si="2"/>
        <v/>
      </c>
      <c r="I467" s="10">
        <f t="shared" si="3"/>
        <v>7</v>
      </c>
    </row>
    <row r="468" ht="15.75" customHeight="1">
      <c r="A468" s="8">
        <v>44043.0</v>
      </c>
      <c r="B468" s="9">
        <v>9.0</v>
      </c>
      <c r="C468" s="9">
        <v>6435.0</v>
      </c>
      <c r="D468" s="10" t="s">
        <v>15</v>
      </c>
      <c r="E468" s="10" t="s">
        <v>17</v>
      </c>
      <c r="F468" s="10" t="s">
        <v>551</v>
      </c>
      <c r="G468" s="10">
        <f t="shared" si="1"/>
        <v>6435</v>
      </c>
      <c r="H468" s="9" t="str">
        <f t="shared" si="2"/>
        <v/>
      </c>
      <c r="I468" s="10">
        <f t="shared" si="3"/>
        <v>7</v>
      </c>
    </row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12.0"/>
    <col customWidth="1" min="4" max="5" width="14.0"/>
    <col customWidth="1" min="6" max="6" width="20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27</v>
      </c>
      <c r="C4" s="1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/>
      <c r="C5" s="1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28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/>
      <c r="C7" s="11"/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 t="s">
        <v>37</v>
      </c>
      <c r="C9" s="15"/>
      <c r="D9" s="15"/>
      <c r="E9" s="16">
        <f>LARGE(Data!$H$2:$H$468,7)</f>
        <v>9525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44</v>
      </c>
      <c r="C10" s="15"/>
      <c r="D10" s="15"/>
      <c r="E10" s="21">
        <f t="array" ref="E10">INDEX(Data!$A$2:$A$468,MATCH($E$9,Data!$H$2:$H$468,0))</f>
        <v>43846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55</v>
      </c>
      <c r="C11" s="15"/>
      <c r="D11" s="15"/>
      <c r="E11" s="25">
        <f t="array" ref="E11">INDEX(Data!$B$2:$B$468,MATCH($E$9,Data!$H$2:$H$468,0))</f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 t="s">
        <v>63</v>
      </c>
      <c r="C12" s="15"/>
      <c r="D12" s="15"/>
      <c r="E12" s="26" t="str">
        <f t="array" ref="E12">INDEX(Data!$F$2:$F$468,MATCH($E$9,Data!$H$2:$H$468,0))</f>
        <v>64B08A24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7" t="s">
        <v>72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76</v>
      </c>
      <c r="C15" s="28" t="s">
        <v>78</v>
      </c>
      <c r="D15" s="28" t="s">
        <v>79</v>
      </c>
      <c r="E15" s="28" t="s">
        <v>81</v>
      </c>
      <c r="F15" s="28" t="s">
        <v>82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>
        <v>1.0</v>
      </c>
      <c r="C16" s="30">
        <f t="array" ref="C16">INDEX(Data!$A$2:$A$468,MATCH(E16,Data!$H$2:$H$468,0))</f>
        <v>43929</v>
      </c>
      <c r="D16" s="31">
        <f t="array" ref="D16">INDEX(Data!$B$2:$B$468,MATCH(E16,Data!$H$2:$H$468,0))</f>
        <v>9</v>
      </c>
      <c r="E16" s="33">
        <f>LARGE(Data!$H$2:$H$468,B16)</f>
        <v>9987</v>
      </c>
      <c r="F16" s="31" t="str">
        <f t="array" ref="F16">INDEX(Data!$F$2:$F$468,MATCH(E16,Data!$H$2:$H$468,0))</f>
        <v>613AFBB8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>
        <v>2.0</v>
      </c>
      <c r="C17" s="30">
        <f t="array" ref="C17">INDEX(Data!$A$2:$A$468,MATCH(E17,Data!$H$2:$H$468,0))</f>
        <v>44021</v>
      </c>
      <c r="D17" s="31">
        <f t="array" ref="D17">INDEX(Data!$B$2:$B$468,MATCH(E17,Data!$H$2:$H$468,0))</f>
        <v>10</v>
      </c>
      <c r="E17" s="33">
        <f>LARGE(Data!$H$2:$H$468,B17)</f>
        <v>9887</v>
      </c>
      <c r="F17" s="31" t="str">
        <f t="array" ref="F17">INDEX(Data!$F$2:$F$468,MATCH(E17,Data!$H$2:$H$468,0))</f>
        <v>EE06FC09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>
        <v>3.0</v>
      </c>
      <c r="C18" s="30">
        <f t="array" ref="C18">INDEX(Data!$A$2:$A$468,MATCH(E18,Data!$H$2:$H$468,0))</f>
        <v>43885</v>
      </c>
      <c r="D18" s="31">
        <f t="array" ref="D18">INDEX(Data!$B$2:$B$468,MATCH(E18,Data!$H$2:$H$468,0))</f>
        <v>3</v>
      </c>
      <c r="E18" s="33">
        <f>LARGE(Data!$H$2:$H$468,B18)</f>
        <v>9872</v>
      </c>
      <c r="F18" s="31" t="str">
        <f t="array" ref="F18">INDEX(Data!$F$2:$F$468,MATCH(E18,Data!$H$2:$H$468,0))</f>
        <v>7641EB77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>
        <v>4.0</v>
      </c>
      <c r="C19" s="30">
        <f t="array" ref="C19">INDEX(Data!$A$2:$A$468,MATCH(E19,Data!$H$2:$H$468,0))</f>
        <v>44026</v>
      </c>
      <c r="D19" s="31">
        <f t="array" ref="D19">INDEX(Data!$B$2:$B$468,MATCH(E19,Data!$H$2:$H$468,0))</f>
        <v>5</v>
      </c>
      <c r="E19" s="33">
        <f>LARGE(Data!$H$2:$H$468,B19)</f>
        <v>9863</v>
      </c>
      <c r="F19" s="31" t="str">
        <f t="array" ref="F19">INDEX(Data!$F$2:$F$468,MATCH(E19,Data!$H$2:$H$468,0))</f>
        <v>834C909F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>
        <v>5.0</v>
      </c>
      <c r="C20" s="30">
        <f t="array" ref="C20">INDEX(Data!$A$2:$A$468,MATCH(E20,Data!$H$2:$H$468,0))</f>
        <v>43967</v>
      </c>
      <c r="D20" s="31">
        <f t="array" ref="D20">INDEX(Data!$B$2:$B$468,MATCH(E20,Data!$H$2:$H$468,0))</f>
        <v>4</v>
      </c>
      <c r="E20" s="33">
        <f>LARGE(Data!$H$2:$H$468,B20)</f>
        <v>9743</v>
      </c>
      <c r="F20" s="31" t="str">
        <f t="array" ref="F20">INDEX(Data!$F$2:$F$468,MATCH(E20,Data!$H$2:$H$468,0))</f>
        <v>53258869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9">
        <v>6.0</v>
      </c>
      <c r="C21" s="30">
        <f t="array" ref="C21">INDEX(Data!$A$2:$A$468,MATCH(E21,Data!$H$2:$H$468,0))</f>
        <v>43979</v>
      </c>
      <c r="D21" s="31">
        <f t="array" ref="D21">INDEX(Data!$B$2:$B$468,MATCH(E21,Data!$H$2:$H$468,0))</f>
        <v>3</v>
      </c>
      <c r="E21" s="33">
        <f>LARGE(Data!$H$2:$H$468,B21)</f>
        <v>9566</v>
      </c>
      <c r="F21" s="31" t="str">
        <f t="array" ref="F21">INDEX(Data!$F$2:$F$468,MATCH(E21,Data!$H$2:$H$468,0))</f>
        <v>8D2D3F20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4">
        <v>7.0</v>
      </c>
      <c r="C22" s="45">
        <f t="array" ref="C22">INDEX(Data!$A$2:$A$468,MATCH(E22,Data!$H$2:$H$468,0))</f>
        <v>43846</v>
      </c>
      <c r="D22" s="47">
        <f t="array" ref="D22">INDEX(Data!$B$2:$B$468,MATCH(E22,Data!$H$2:$H$468,0))</f>
        <v>8</v>
      </c>
      <c r="E22" s="48">
        <f>LARGE(Data!$H$2:$H$468,B22)</f>
        <v>9525</v>
      </c>
      <c r="F22" s="47" t="str">
        <f t="array" ref="F22">INDEX(Data!$F$2:$F$468,MATCH(E22,Data!$H$2:$H$468,0))</f>
        <v>64B08A24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9">
        <v>8.0</v>
      </c>
      <c r="C23" s="30">
        <f t="array" ref="C23">INDEX(Data!$A$2:$A$468,MATCH(E23,Data!$H$2:$H$468,0))</f>
        <v>43858</v>
      </c>
      <c r="D23" s="31">
        <f t="array" ref="D23">INDEX(Data!$B$2:$B$468,MATCH(E23,Data!$H$2:$H$468,0))</f>
        <v>1</v>
      </c>
      <c r="E23" s="33">
        <f>LARGE(Data!$H$2:$H$468,B23)</f>
        <v>9450</v>
      </c>
      <c r="F23" s="31" t="str">
        <f t="array" ref="F23">INDEX(Data!$F$2:$F$468,MATCH(E23,Data!$H$2:$H$468,0))</f>
        <v>BDF20BCA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9">
        <v>9.0</v>
      </c>
      <c r="C24" s="30">
        <f t="array" ref="C24">INDEX(Data!$A$2:$A$468,MATCH(E24,Data!$H$2:$H$468,0))</f>
        <v>43938</v>
      </c>
      <c r="D24" s="31">
        <f t="array" ref="D24">INDEX(Data!$B$2:$B$468,MATCH(E24,Data!$H$2:$H$468,0))</f>
        <v>7</v>
      </c>
      <c r="E24" s="33">
        <f>LARGE(Data!$H$2:$H$468,B24)</f>
        <v>9434</v>
      </c>
      <c r="F24" s="31" t="str">
        <f t="array" ref="F24">INDEX(Data!$F$2:$F$468,MATCH(E24,Data!$H$2:$H$468,0))</f>
        <v>B0EEB2E7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9">
        <v>10.0</v>
      </c>
      <c r="C25" s="30">
        <f t="array" ref="C25">INDEX(Data!$A$2:$A$468,MATCH(E25,Data!$H$2:$H$468,0))</f>
        <v>43993</v>
      </c>
      <c r="D25" s="31">
        <f t="array" ref="D25">INDEX(Data!$B$2:$B$468,MATCH(E25,Data!$H$2:$H$468,0))</f>
        <v>4</v>
      </c>
      <c r="E25" s="33">
        <f>LARGE(Data!$H$2:$H$468,B25)</f>
        <v>9337</v>
      </c>
      <c r="F25" s="31" t="str">
        <f t="array" ref="F25">INDEX(Data!$F$2:$F$468,MATCH(E25,Data!$H$2:$H$468,0))</f>
        <v>47625EBE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6:C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3" width="14.0"/>
    <col customWidth="1" min="4" max="4" width="16.0"/>
    <col customWidth="1" min="5" max="26" width="8.71"/>
  </cols>
  <sheetData>
    <row r="2">
      <c r="B2" s="18" t="s">
        <v>107</v>
      </c>
    </row>
    <row r="3">
      <c r="B3" s="19" t="s">
        <v>108</v>
      </c>
    </row>
    <row r="5">
      <c r="B5" s="3" t="s">
        <v>110</v>
      </c>
      <c r="C5" s="3" t="s">
        <v>111</v>
      </c>
      <c r="D5" s="3" t="s">
        <v>112</v>
      </c>
    </row>
    <row r="6">
      <c r="B6" s="22" t="s">
        <v>15</v>
      </c>
      <c r="C6" s="22">
        <f>COUNTIF(Data!$D$2:$D$468,B6)</f>
        <v>254</v>
      </c>
      <c r="D6" s="34">
        <f t="shared" ref="D6:D10" si="1">C6/SUM($C$6:$C$10)</f>
        <v>0.5438972163</v>
      </c>
    </row>
    <row r="7">
      <c r="B7" s="22" t="s">
        <v>31</v>
      </c>
      <c r="C7" s="22">
        <f>COUNTIF(Data!$D$2:$D$468,B7)</f>
        <v>83</v>
      </c>
      <c r="D7" s="34">
        <f t="shared" si="1"/>
        <v>0.1777301927</v>
      </c>
    </row>
    <row r="8">
      <c r="B8" s="22" t="s">
        <v>34</v>
      </c>
      <c r="C8" s="22">
        <f>COUNTIF(Data!$D$2:$D$468,B8)</f>
        <v>79</v>
      </c>
      <c r="D8" s="34">
        <f t="shared" si="1"/>
        <v>0.1691648822</v>
      </c>
    </row>
    <row r="9">
      <c r="B9" s="22" t="s">
        <v>95</v>
      </c>
      <c r="C9" s="22">
        <f>COUNTIF(Data!$D$2:$D$468,B9)</f>
        <v>30</v>
      </c>
      <c r="D9" s="34">
        <f t="shared" si="1"/>
        <v>0.06423982869</v>
      </c>
    </row>
    <row r="10">
      <c r="B10" s="36" t="s">
        <v>42</v>
      </c>
      <c r="C10" s="36">
        <f>COUNTIF(Data!$D$2:$D$468,B10)</f>
        <v>21</v>
      </c>
      <c r="D10" s="37">
        <f t="shared" si="1"/>
        <v>0.04496788009</v>
      </c>
    </row>
    <row r="11">
      <c r="B11" s="38" t="s">
        <v>126</v>
      </c>
      <c r="C11" s="38">
        <f t="shared" ref="C11:D11" si="2">SUM(C6:C10)</f>
        <v>467</v>
      </c>
      <c r="D11" s="40">
        <f t="shared" si="2"/>
        <v>1</v>
      </c>
    </row>
    <row r="13">
      <c r="B13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16.0"/>
    <col customWidth="1" min="4" max="26" width="8.71"/>
  </cols>
  <sheetData>
    <row r="2">
      <c r="B2" s="18" t="s">
        <v>45</v>
      </c>
    </row>
    <row r="3">
      <c r="B3" s="19" t="s">
        <v>47</v>
      </c>
    </row>
    <row r="5">
      <c r="B5" s="20" t="s">
        <v>49</v>
      </c>
      <c r="C5" s="20" t="s">
        <v>50</v>
      </c>
    </row>
    <row r="6">
      <c r="B6" s="22" t="s">
        <v>52</v>
      </c>
      <c r="C6" s="23">
        <f>COUNT(Data!$G$2:$G$468)</f>
        <v>327</v>
      </c>
    </row>
    <row r="7">
      <c r="B7" s="22" t="s">
        <v>56</v>
      </c>
      <c r="C7" s="24">
        <f>AVERAGE(Data!$G$2:$G$468)</f>
        <v>4857.730887</v>
      </c>
    </row>
    <row r="8">
      <c r="B8" s="22" t="s">
        <v>59</v>
      </c>
      <c r="C8" s="24">
        <f>MEDIAN(Data!$G$2:$G$468)</f>
        <v>4699</v>
      </c>
    </row>
    <row r="9">
      <c r="B9" s="22" t="s">
        <v>61</v>
      </c>
      <c r="C9" s="23">
        <f>MODE(Data!$G$2:$G$468)</f>
        <v>715</v>
      </c>
    </row>
    <row r="10">
      <c r="B10" s="22" t="s">
        <v>64</v>
      </c>
      <c r="C10" s="24">
        <f>STDEV(Data!$G$2:$G$468)</f>
        <v>2895.869465</v>
      </c>
    </row>
    <row r="11">
      <c r="B11" s="22" t="s">
        <v>66</v>
      </c>
      <c r="C11" s="24">
        <f>VAR(Data!$G$2:$G$468)</f>
        <v>8386059.958</v>
      </c>
    </row>
    <row r="12">
      <c r="B12" s="22" t="s">
        <v>69</v>
      </c>
      <c r="C12" s="23">
        <f>MIN(Data!$G$2:$G$468)</f>
        <v>108</v>
      </c>
    </row>
    <row r="13">
      <c r="B13" s="22" t="s">
        <v>71</v>
      </c>
      <c r="C13" s="23">
        <f>MAX(Data!$G$2:$G$468)</f>
        <v>9950</v>
      </c>
    </row>
    <row r="14">
      <c r="B14" s="22" t="s">
        <v>74</v>
      </c>
      <c r="C14" s="23">
        <f>C13-C12</f>
        <v>9842</v>
      </c>
    </row>
    <row r="15">
      <c r="B15" s="22" t="s">
        <v>77</v>
      </c>
      <c r="C15" s="24">
        <f>PERCENTILE(Data!$G$2:$G$468,0.25)</f>
        <v>2378</v>
      </c>
    </row>
    <row r="16">
      <c r="B16" s="22" t="s">
        <v>84</v>
      </c>
      <c r="C16" s="24">
        <f>PERCENTILE(Data!$G$2:$G$468,0.75)</f>
        <v>7387</v>
      </c>
    </row>
    <row r="17">
      <c r="B17" s="22" t="s">
        <v>87</v>
      </c>
      <c r="C17" s="24">
        <f>C16-C15</f>
        <v>5009</v>
      </c>
    </row>
    <row r="18">
      <c r="B18" s="22" t="s">
        <v>88</v>
      </c>
      <c r="C18" s="32">
        <f>SKEW(Data!$G$2:$G$468)</f>
        <v>0.06211594341</v>
      </c>
    </row>
    <row r="19">
      <c r="B19" s="22" t="s">
        <v>90</v>
      </c>
      <c r="C19" s="32">
        <f>KURT(Data!$G$2:$G$468)</f>
        <v>-1.209639485</v>
      </c>
    </row>
    <row r="21" ht="15.75" customHeight="1">
      <c r="B21" s="19" t="s">
        <v>93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1:C2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10" width="11.0"/>
    <col customWidth="1" min="11" max="11" width="3.0"/>
    <col customWidth="1" min="12" max="12" width="34.43"/>
    <col customWidth="1" min="13" max="13" width="14.86"/>
    <col customWidth="1" min="14" max="20" width="6.0"/>
    <col customWidth="1" min="2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119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5" t="s">
        <v>122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5" t="s">
        <v>128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9" t="s">
        <v>130</v>
      </c>
      <c r="C6" s="41">
        <v>43831.0</v>
      </c>
      <c r="D6" s="41">
        <v>43862.0</v>
      </c>
      <c r="E6" s="41">
        <v>43891.0</v>
      </c>
      <c r="F6" s="41">
        <v>43922.0</v>
      </c>
      <c r="G6" s="41">
        <v>43952.0</v>
      </c>
      <c r="H6" s="41">
        <v>43983.0</v>
      </c>
      <c r="I6" s="41">
        <v>44013.0</v>
      </c>
      <c r="J6" s="42" t="s">
        <v>133</v>
      </c>
      <c r="K6" s="1"/>
      <c r="L6" s="43" t="s">
        <v>135</v>
      </c>
      <c r="M6" s="43" t="s">
        <v>137</v>
      </c>
      <c r="N6" s="43">
        <v>1.0</v>
      </c>
      <c r="O6" s="43">
        <v>2.0</v>
      </c>
      <c r="P6" s="43">
        <v>3.0</v>
      </c>
      <c r="Q6" s="43">
        <v>4.0</v>
      </c>
      <c r="R6" s="43">
        <v>5.0</v>
      </c>
      <c r="S6" s="43">
        <v>6.0</v>
      </c>
      <c r="T6" s="43">
        <v>7.0</v>
      </c>
      <c r="U6" s="1"/>
      <c r="V6" s="1"/>
      <c r="W6" s="1"/>
      <c r="X6" s="1"/>
      <c r="Y6" s="1"/>
      <c r="Z6" s="1"/>
    </row>
    <row r="7">
      <c r="A7" s="1"/>
      <c r="B7" s="46">
        <v>43831.0</v>
      </c>
      <c r="C7" s="29">
        <f t="shared" ref="C7:C13" si="1">SUMPRODUCT(($M$7:$M$16=MONTH($B7))*($N$7:$N$16))</f>
        <v>8</v>
      </c>
      <c r="D7" s="29">
        <f t="shared" ref="D7:D13" si="2">SUMPRODUCT(($M$7:$M$16=MONTH($B7))*($O$7:$O$16))</f>
        <v>5</v>
      </c>
      <c r="E7" s="29">
        <f t="shared" ref="E7:E13" si="3">SUMPRODUCT(($M$7:$M$16=MONTH($B7))*($P$7:$P$16))</f>
        <v>8</v>
      </c>
      <c r="F7" s="29">
        <f t="shared" ref="F7:F13" si="4">SUMPRODUCT(($M$7:$M$16=MONTH($B7))*($Q$7:$Q$16))</f>
        <v>7</v>
      </c>
      <c r="G7" s="29">
        <f t="shared" ref="G7:G13" si="5">SUMPRODUCT(($M$7:$M$16=MONTH($B7))*($R$7:$R$16))</f>
        <v>7</v>
      </c>
      <c r="H7" s="29">
        <f t="shared" ref="H7:H13" si="6">SUMPRODUCT(($M$7:$M$16=MONTH($B7))*($S$7:$S$16))</f>
        <v>7</v>
      </c>
      <c r="I7" s="29">
        <f t="shared" ref="I7:I13" si="7">SUMPRODUCT(($M$7:$M$16=MONTH($B7))*($T$7:$T$16))</f>
        <v>8</v>
      </c>
      <c r="J7" s="29">
        <f t="shared" ref="J7:J13" si="8">COUNTIF($M$7:$M$16,MONTH($B7))</f>
        <v>8</v>
      </c>
      <c r="K7" s="1"/>
      <c r="L7" s="49">
        <v>1.0</v>
      </c>
      <c r="M7" s="50">
        <f>MINIFS(Data!$I$2:$I$468,Data!$B$2:$B$468,$L7,Data!$E$2:$E$468,"DEBIT")</f>
        <v>1</v>
      </c>
      <c r="N7" s="50">
        <f>IF(COUNTIFS(Data!$B$2:$B$468,$L7,Data!$I$2:$I$468,N$6,Data!$E$2:$E$468,"DEBIT")&gt;0,1,0)</f>
        <v>1</v>
      </c>
      <c r="O7" s="50">
        <f>IF(COUNTIFS(Data!$B$2:$B$468,$L7,Data!$I$2:$I$468,O$6,Data!$E$2:$E$468,"DEBIT")&gt;0,1,0)</f>
        <v>0</v>
      </c>
      <c r="P7" s="50">
        <f>IF(COUNTIFS(Data!$B$2:$B$468,$L7,Data!$I$2:$I$468,P$6,Data!$E$2:$E$468,"DEBIT")&gt;0,1,0)</f>
        <v>1</v>
      </c>
      <c r="Q7" s="50">
        <f>IF(COUNTIFS(Data!$B$2:$B$468,$L7,Data!$I$2:$I$468,Q$6,Data!$E$2:$E$468,"DEBIT")&gt;0,1,0)</f>
        <v>1</v>
      </c>
      <c r="R7" s="50">
        <f>IF(COUNTIFS(Data!$B$2:$B$468,$L7,Data!$I$2:$I$468,R$6,Data!$E$2:$E$468,"DEBIT")&gt;0,1,0)</f>
        <v>1</v>
      </c>
      <c r="S7" s="50">
        <f>IF(COUNTIFS(Data!$B$2:$B$468,$L7,Data!$I$2:$I$468,S$6,Data!$E$2:$E$468,"DEBIT")&gt;0,1,0)</f>
        <v>1</v>
      </c>
      <c r="T7" s="50">
        <f>IF(COUNTIFS(Data!$B$2:$B$468,$L7,Data!$I$2:$I$468,T$6,Data!$E$2:$E$468,"DEBIT")&gt;0,1,0)</f>
        <v>1</v>
      </c>
      <c r="U7" s="1"/>
      <c r="V7" s="1"/>
      <c r="W7" s="1"/>
      <c r="X7" s="1"/>
      <c r="Y7" s="1"/>
      <c r="Z7" s="1"/>
    </row>
    <row r="8">
      <c r="A8" s="1"/>
      <c r="B8" s="46">
        <v>43862.0</v>
      </c>
      <c r="C8" s="29">
        <f t="shared" si="1"/>
        <v>0</v>
      </c>
      <c r="D8" s="29">
        <f t="shared" si="2"/>
        <v>1</v>
      </c>
      <c r="E8" s="29">
        <f t="shared" si="3"/>
        <v>0</v>
      </c>
      <c r="F8" s="29">
        <f t="shared" si="4"/>
        <v>1</v>
      </c>
      <c r="G8" s="29">
        <f t="shared" si="5"/>
        <v>1</v>
      </c>
      <c r="H8" s="29">
        <f t="shared" si="6"/>
        <v>0</v>
      </c>
      <c r="I8" s="29">
        <f t="shared" si="7"/>
        <v>1</v>
      </c>
      <c r="J8" s="29">
        <f t="shared" si="8"/>
        <v>1</v>
      </c>
      <c r="K8" s="1"/>
      <c r="L8" s="49">
        <v>2.0</v>
      </c>
      <c r="M8" s="50">
        <f>MINIFS(Data!$I$2:$I$468,Data!$B$2:$B$468,$L8,Data!$E$2:$E$468,"DEBIT")</f>
        <v>1</v>
      </c>
      <c r="N8" s="50">
        <f>IF(COUNTIFS(Data!$B$2:$B$468,$L8,Data!$I$2:$I$468,N$6,Data!$E$2:$E$468,"DEBIT")&gt;0,1,0)</f>
        <v>1</v>
      </c>
      <c r="O8" s="50">
        <f>IF(COUNTIFS(Data!$B$2:$B$468,$L8,Data!$I$2:$I$468,O$6,Data!$E$2:$E$468,"DEBIT")&gt;0,1,0)</f>
        <v>1</v>
      </c>
      <c r="P8" s="50">
        <f>IF(COUNTIFS(Data!$B$2:$B$468,$L8,Data!$I$2:$I$468,P$6,Data!$E$2:$E$468,"DEBIT")&gt;0,1,0)</f>
        <v>1</v>
      </c>
      <c r="Q8" s="50">
        <f>IF(COUNTIFS(Data!$B$2:$B$468,$L8,Data!$I$2:$I$468,Q$6,Data!$E$2:$E$468,"DEBIT")&gt;0,1,0)</f>
        <v>1</v>
      </c>
      <c r="R8" s="50">
        <f>IF(COUNTIFS(Data!$B$2:$B$468,$L8,Data!$I$2:$I$468,R$6,Data!$E$2:$E$468,"DEBIT")&gt;0,1,0)</f>
        <v>1</v>
      </c>
      <c r="S8" s="50">
        <f>IF(COUNTIFS(Data!$B$2:$B$468,$L8,Data!$I$2:$I$468,S$6,Data!$E$2:$E$468,"DEBIT")&gt;0,1,0)</f>
        <v>1</v>
      </c>
      <c r="T8" s="50">
        <f>IF(COUNTIFS(Data!$B$2:$B$468,$L8,Data!$I$2:$I$468,T$6,Data!$E$2:$E$468,"DEBIT")&gt;0,1,0)</f>
        <v>1</v>
      </c>
      <c r="U8" s="1"/>
      <c r="V8" s="1"/>
      <c r="W8" s="1"/>
      <c r="X8" s="1"/>
      <c r="Y8" s="1"/>
      <c r="Z8" s="1"/>
    </row>
    <row r="9">
      <c r="A9" s="1"/>
      <c r="B9" s="46">
        <v>43891.0</v>
      </c>
      <c r="C9" s="29">
        <f t="shared" si="1"/>
        <v>0</v>
      </c>
      <c r="D9" s="29">
        <f t="shared" si="2"/>
        <v>0</v>
      </c>
      <c r="E9" s="29">
        <f t="shared" si="3"/>
        <v>1</v>
      </c>
      <c r="F9" s="29">
        <f t="shared" si="4"/>
        <v>1</v>
      </c>
      <c r="G9" s="29">
        <f t="shared" si="5"/>
        <v>1</v>
      </c>
      <c r="H9" s="29">
        <f t="shared" si="6"/>
        <v>1</v>
      </c>
      <c r="I9" s="29">
        <f t="shared" si="7"/>
        <v>1</v>
      </c>
      <c r="J9" s="29">
        <f t="shared" si="8"/>
        <v>1</v>
      </c>
      <c r="K9" s="1"/>
      <c r="L9" s="49">
        <v>3.0</v>
      </c>
      <c r="M9" s="50">
        <f>MINIFS(Data!$I$2:$I$468,Data!$B$2:$B$468,$L9,Data!$E$2:$E$468,"DEBIT")</f>
        <v>1</v>
      </c>
      <c r="N9" s="50">
        <f>IF(COUNTIFS(Data!$B$2:$B$468,$L9,Data!$I$2:$I$468,N$6,Data!$E$2:$E$468,"DEBIT")&gt;0,1,0)</f>
        <v>1</v>
      </c>
      <c r="O9" s="50">
        <f>IF(COUNTIFS(Data!$B$2:$B$468,$L9,Data!$I$2:$I$468,O$6,Data!$E$2:$E$468,"DEBIT")&gt;0,1,0)</f>
        <v>1</v>
      </c>
      <c r="P9" s="50">
        <f>IF(COUNTIFS(Data!$B$2:$B$468,$L9,Data!$I$2:$I$468,P$6,Data!$E$2:$E$468,"DEBIT")&gt;0,1,0)</f>
        <v>1</v>
      </c>
      <c r="Q9" s="50">
        <f>IF(COUNTIFS(Data!$B$2:$B$468,$L9,Data!$I$2:$I$468,Q$6,Data!$E$2:$E$468,"DEBIT")&gt;0,1,0)</f>
        <v>1</v>
      </c>
      <c r="R9" s="50">
        <f>IF(COUNTIFS(Data!$B$2:$B$468,$L9,Data!$I$2:$I$468,R$6,Data!$E$2:$E$468,"DEBIT")&gt;0,1,0)</f>
        <v>1</v>
      </c>
      <c r="S9" s="50">
        <f>IF(COUNTIFS(Data!$B$2:$B$468,$L9,Data!$I$2:$I$468,S$6,Data!$E$2:$E$468,"DEBIT")&gt;0,1,0)</f>
        <v>1</v>
      </c>
      <c r="T9" s="50">
        <f>IF(COUNTIFS(Data!$B$2:$B$468,$L9,Data!$I$2:$I$468,T$6,Data!$E$2:$E$468,"DEBIT")&gt;0,1,0)</f>
        <v>1</v>
      </c>
      <c r="U9" s="1"/>
      <c r="V9" s="1"/>
      <c r="W9" s="1"/>
      <c r="X9" s="1"/>
      <c r="Y9" s="1"/>
      <c r="Z9" s="1"/>
    </row>
    <row r="10">
      <c r="A10" s="1"/>
      <c r="B10" s="46">
        <v>43922.0</v>
      </c>
      <c r="C10" s="29">
        <f t="shared" si="1"/>
        <v>0</v>
      </c>
      <c r="D10" s="29">
        <f t="shared" si="2"/>
        <v>0</v>
      </c>
      <c r="E10" s="29">
        <f t="shared" si="3"/>
        <v>0</v>
      </c>
      <c r="F10" s="29">
        <f t="shared" si="4"/>
        <v>0</v>
      </c>
      <c r="G10" s="29">
        <f t="shared" si="5"/>
        <v>0</v>
      </c>
      <c r="H10" s="29">
        <f t="shared" si="6"/>
        <v>0</v>
      </c>
      <c r="I10" s="29">
        <f t="shared" si="7"/>
        <v>0</v>
      </c>
      <c r="J10" s="29">
        <f t="shared" si="8"/>
        <v>0</v>
      </c>
      <c r="K10" s="1"/>
      <c r="L10" s="49">
        <v>4.0</v>
      </c>
      <c r="M10" s="50">
        <f>MINIFS(Data!$I$2:$I$468,Data!$B$2:$B$468,$L10,Data!$E$2:$E$468,"DEBIT")</f>
        <v>3</v>
      </c>
      <c r="N10" s="50">
        <f>IF(COUNTIFS(Data!$B$2:$B$468,$L10,Data!$I$2:$I$468,N$6,Data!$E$2:$E$468,"DEBIT")&gt;0,1,0)</f>
        <v>0</v>
      </c>
      <c r="O10" s="50">
        <f>IF(COUNTIFS(Data!$B$2:$B$468,$L10,Data!$I$2:$I$468,O$6,Data!$E$2:$E$468,"DEBIT")&gt;0,1,0)</f>
        <v>0</v>
      </c>
      <c r="P10" s="50">
        <f>IF(COUNTIFS(Data!$B$2:$B$468,$L10,Data!$I$2:$I$468,P$6,Data!$E$2:$E$468,"DEBIT")&gt;0,1,0)</f>
        <v>1</v>
      </c>
      <c r="Q10" s="50">
        <f>IF(COUNTIFS(Data!$B$2:$B$468,$L10,Data!$I$2:$I$468,Q$6,Data!$E$2:$E$468,"DEBIT")&gt;0,1,0)</f>
        <v>1</v>
      </c>
      <c r="R10" s="50">
        <f>IF(COUNTIFS(Data!$B$2:$B$468,$L10,Data!$I$2:$I$468,R$6,Data!$E$2:$E$468,"DEBIT")&gt;0,1,0)</f>
        <v>1</v>
      </c>
      <c r="S10" s="50">
        <f>IF(COUNTIFS(Data!$B$2:$B$468,$L10,Data!$I$2:$I$468,S$6,Data!$E$2:$E$468,"DEBIT")&gt;0,1,0)</f>
        <v>1</v>
      </c>
      <c r="T10" s="50">
        <f>IF(COUNTIFS(Data!$B$2:$B$468,$L10,Data!$I$2:$I$468,T$6,Data!$E$2:$E$468,"DEBIT")&gt;0,1,0)</f>
        <v>1</v>
      </c>
      <c r="U10" s="1"/>
      <c r="V10" s="1"/>
      <c r="W10" s="1"/>
      <c r="X10" s="1"/>
      <c r="Y10" s="1"/>
      <c r="Z10" s="1"/>
    </row>
    <row r="11">
      <c r="A11" s="1"/>
      <c r="B11" s="46">
        <v>43952.0</v>
      </c>
      <c r="C11" s="29">
        <f t="shared" si="1"/>
        <v>0</v>
      </c>
      <c r="D11" s="29">
        <f t="shared" si="2"/>
        <v>0</v>
      </c>
      <c r="E11" s="29">
        <f t="shared" si="3"/>
        <v>0</v>
      </c>
      <c r="F11" s="29">
        <f t="shared" si="4"/>
        <v>0</v>
      </c>
      <c r="G11" s="29">
        <f t="shared" si="5"/>
        <v>0</v>
      </c>
      <c r="H11" s="29">
        <f t="shared" si="6"/>
        <v>0</v>
      </c>
      <c r="I11" s="29">
        <f t="shared" si="7"/>
        <v>0</v>
      </c>
      <c r="J11" s="29">
        <f t="shared" si="8"/>
        <v>0</v>
      </c>
      <c r="K11" s="1"/>
      <c r="L11" s="49">
        <v>5.0</v>
      </c>
      <c r="M11" s="50">
        <f>MINIFS(Data!$I$2:$I$468,Data!$B$2:$B$468,$L11,Data!$E$2:$E$468,"DEBIT")</f>
        <v>1</v>
      </c>
      <c r="N11" s="50">
        <f>IF(COUNTIFS(Data!$B$2:$B$468,$L11,Data!$I$2:$I$468,N$6,Data!$E$2:$E$468,"DEBIT")&gt;0,1,0)</f>
        <v>1</v>
      </c>
      <c r="O11" s="50">
        <f>IF(COUNTIFS(Data!$B$2:$B$468,$L11,Data!$I$2:$I$468,O$6,Data!$E$2:$E$468,"DEBIT")&gt;0,1,0)</f>
        <v>0</v>
      </c>
      <c r="P11" s="50">
        <f>IF(COUNTIFS(Data!$B$2:$B$468,$L11,Data!$I$2:$I$468,P$6,Data!$E$2:$E$468,"DEBIT")&gt;0,1,0)</f>
        <v>1</v>
      </c>
      <c r="Q11" s="50">
        <f>IF(COUNTIFS(Data!$B$2:$B$468,$L11,Data!$I$2:$I$468,Q$6,Data!$E$2:$E$468,"DEBIT")&gt;0,1,0)</f>
        <v>1</v>
      </c>
      <c r="R11" s="50">
        <f>IF(COUNTIFS(Data!$B$2:$B$468,$L11,Data!$I$2:$I$468,R$6,Data!$E$2:$E$468,"DEBIT")&gt;0,1,0)</f>
        <v>1</v>
      </c>
      <c r="S11" s="50">
        <f>IF(COUNTIFS(Data!$B$2:$B$468,$L11,Data!$I$2:$I$468,S$6,Data!$E$2:$E$468,"DEBIT")&gt;0,1,0)</f>
        <v>1</v>
      </c>
      <c r="T11" s="50">
        <f>IF(COUNTIFS(Data!$B$2:$B$468,$L11,Data!$I$2:$I$468,T$6,Data!$E$2:$E$468,"DEBIT")&gt;0,1,0)</f>
        <v>1</v>
      </c>
      <c r="U11" s="1"/>
      <c r="V11" s="1"/>
      <c r="W11" s="1"/>
      <c r="X11" s="1"/>
      <c r="Y11" s="1"/>
      <c r="Z11" s="1"/>
    </row>
    <row r="12">
      <c r="A12" s="1"/>
      <c r="B12" s="46">
        <v>43983.0</v>
      </c>
      <c r="C12" s="29">
        <f t="shared" si="1"/>
        <v>0</v>
      </c>
      <c r="D12" s="29">
        <f t="shared" si="2"/>
        <v>0</v>
      </c>
      <c r="E12" s="29">
        <f t="shared" si="3"/>
        <v>0</v>
      </c>
      <c r="F12" s="29">
        <f t="shared" si="4"/>
        <v>0</v>
      </c>
      <c r="G12" s="29">
        <f t="shared" si="5"/>
        <v>0</v>
      </c>
      <c r="H12" s="29">
        <f t="shared" si="6"/>
        <v>0</v>
      </c>
      <c r="I12" s="29">
        <f t="shared" si="7"/>
        <v>0</v>
      </c>
      <c r="J12" s="29">
        <f t="shared" si="8"/>
        <v>0</v>
      </c>
      <c r="K12" s="1"/>
      <c r="L12" s="49">
        <v>6.0</v>
      </c>
      <c r="M12" s="50">
        <f>MINIFS(Data!$I$2:$I$468,Data!$B$2:$B$468,$L12,Data!$E$2:$E$468,"DEBIT")</f>
        <v>1</v>
      </c>
      <c r="N12" s="50">
        <f>IF(COUNTIFS(Data!$B$2:$B$468,$L12,Data!$I$2:$I$468,N$6,Data!$E$2:$E$468,"DEBIT")&gt;0,1,0)</f>
        <v>1</v>
      </c>
      <c r="O12" s="50">
        <f>IF(COUNTIFS(Data!$B$2:$B$468,$L12,Data!$I$2:$I$468,O$6,Data!$E$2:$E$468,"DEBIT")&gt;0,1,0)</f>
        <v>0</v>
      </c>
      <c r="P12" s="50">
        <f>IF(COUNTIFS(Data!$B$2:$B$468,$L12,Data!$I$2:$I$468,P$6,Data!$E$2:$E$468,"DEBIT")&gt;0,1,0)</f>
        <v>1</v>
      </c>
      <c r="Q12" s="50">
        <f>IF(COUNTIFS(Data!$B$2:$B$468,$L12,Data!$I$2:$I$468,Q$6,Data!$E$2:$E$468,"DEBIT")&gt;0,1,0)</f>
        <v>0</v>
      </c>
      <c r="R12" s="50">
        <f>IF(COUNTIFS(Data!$B$2:$B$468,$L12,Data!$I$2:$I$468,R$6,Data!$E$2:$E$468,"DEBIT")&gt;0,1,0)</f>
        <v>1</v>
      </c>
      <c r="S12" s="50">
        <f>IF(COUNTIFS(Data!$B$2:$B$468,$L12,Data!$I$2:$I$468,S$6,Data!$E$2:$E$468,"DEBIT")&gt;0,1,0)</f>
        <v>0</v>
      </c>
      <c r="T12" s="50">
        <f>IF(COUNTIFS(Data!$B$2:$B$468,$L12,Data!$I$2:$I$468,T$6,Data!$E$2:$E$468,"DEBIT")&gt;0,1,0)</f>
        <v>1</v>
      </c>
      <c r="U12" s="1"/>
      <c r="V12" s="1"/>
      <c r="W12" s="1"/>
      <c r="X12" s="1"/>
      <c r="Y12" s="1"/>
      <c r="Z12" s="1"/>
    </row>
    <row r="13">
      <c r="A13" s="1"/>
      <c r="B13" s="46">
        <v>44013.0</v>
      </c>
      <c r="C13" s="29">
        <f t="shared" si="1"/>
        <v>0</v>
      </c>
      <c r="D13" s="29">
        <f t="shared" si="2"/>
        <v>0</v>
      </c>
      <c r="E13" s="29">
        <f t="shared" si="3"/>
        <v>0</v>
      </c>
      <c r="F13" s="29">
        <f t="shared" si="4"/>
        <v>0</v>
      </c>
      <c r="G13" s="29">
        <f t="shared" si="5"/>
        <v>0</v>
      </c>
      <c r="H13" s="29">
        <f t="shared" si="6"/>
        <v>0</v>
      </c>
      <c r="I13" s="29">
        <f t="shared" si="7"/>
        <v>0</v>
      </c>
      <c r="J13" s="29">
        <f t="shared" si="8"/>
        <v>0</v>
      </c>
      <c r="K13" s="1"/>
      <c r="L13" s="49">
        <v>7.0</v>
      </c>
      <c r="M13" s="50">
        <f>MINIFS(Data!$I$2:$I$468,Data!$B$2:$B$468,$L13,Data!$E$2:$E$468,"DEBIT")</f>
        <v>1</v>
      </c>
      <c r="N13" s="50">
        <f>IF(COUNTIFS(Data!$B$2:$B$468,$L13,Data!$I$2:$I$468,N$6,Data!$E$2:$E$468,"DEBIT")&gt;0,1,0)</f>
        <v>1</v>
      </c>
      <c r="O13" s="50">
        <f>IF(COUNTIFS(Data!$B$2:$B$468,$L13,Data!$I$2:$I$468,O$6,Data!$E$2:$E$468,"DEBIT")&gt;0,1,0)</f>
        <v>1</v>
      </c>
      <c r="P13" s="50">
        <f>IF(COUNTIFS(Data!$B$2:$B$468,$L13,Data!$I$2:$I$468,P$6,Data!$E$2:$E$468,"DEBIT")&gt;0,1,0)</f>
        <v>1</v>
      </c>
      <c r="Q13" s="50">
        <f>IF(COUNTIFS(Data!$B$2:$B$468,$L13,Data!$I$2:$I$468,Q$6,Data!$E$2:$E$468,"DEBIT")&gt;0,1,0)</f>
        <v>1</v>
      </c>
      <c r="R13" s="50">
        <f>IF(COUNTIFS(Data!$B$2:$B$468,$L13,Data!$I$2:$I$468,R$6,Data!$E$2:$E$468,"DEBIT")&gt;0,1,0)</f>
        <v>1</v>
      </c>
      <c r="S13" s="50">
        <f>IF(COUNTIFS(Data!$B$2:$B$468,$L13,Data!$I$2:$I$468,S$6,Data!$E$2:$E$468,"DEBIT")&gt;0,1,0)</f>
        <v>1</v>
      </c>
      <c r="T13" s="50">
        <f>IF(COUNTIFS(Data!$B$2:$B$468,$L13,Data!$I$2:$I$468,T$6,Data!$E$2:$E$468,"DEBIT")&gt;0,1,0)</f>
        <v>1</v>
      </c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49">
        <v>8.0</v>
      </c>
      <c r="M14" s="49">
        <f>MINIFS(Data!$I$2:$I$468,Data!$B$2:$B$468,$L14,Data!$E$2:$E$468,"DEBIT")</f>
        <v>1</v>
      </c>
      <c r="N14" s="49">
        <f>IF(COUNTIFS(Data!$B$2:$B$468,$L14,Data!$I$2:$I$468,N$6,Data!$E$2:$E$468,"DEBIT")&gt;0,1,0)</f>
        <v>1</v>
      </c>
      <c r="O14" s="49">
        <f>IF(COUNTIFS(Data!$B$2:$B$468,$L14,Data!$I$2:$I$468,O$6,Data!$E$2:$E$468,"DEBIT")&gt;0,1,0)</f>
        <v>1</v>
      </c>
      <c r="P14" s="49">
        <f>IF(COUNTIFS(Data!$B$2:$B$468,$L14,Data!$I$2:$I$468,P$6,Data!$E$2:$E$468,"DEBIT")&gt;0,1,0)</f>
        <v>1</v>
      </c>
      <c r="Q14" s="49">
        <f>IF(COUNTIFS(Data!$B$2:$B$468,$L14,Data!$I$2:$I$468,Q$6,Data!$E$2:$E$468,"DEBIT")&gt;0,1,0)</f>
        <v>1</v>
      </c>
      <c r="R14" s="49">
        <f>IF(COUNTIFS(Data!$B$2:$B$468,$L14,Data!$I$2:$I$468,R$6,Data!$E$2:$E$468,"DEBIT")&gt;0,1,0)</f>
        <v>1</v>
      </c>
      <c r="S14" s="49">
        <f>IF(COUNTIFS(Data!$B$2:$B$468,$L14,Data!$I$2:$I$468,S$6,Data!$E$2:$E$468,"DEBIT")&gt;0,1,0)</f>
        <v>1</v>
      </c>
      <c r="T14" s="49">
        <f>IF(COUNTIFS(Data!$B$2:$B$468,$L14,Data!$I$2:$I$468,T$6,Data!$E$2:$E$468,"DEBIT")&gt;0,1,0)</f>
        <v>1</v>
      </c>
      <c r="U14" s="1"/>
      <c r="V14" s="1"/>
      <c r="W14" s="1"/>
      <c r="X14" s="1"/>
      <c r="Y14" s="1"/>
      <c r="Z14" s="1"/>
    </row>
    <row r="15">
      <c r="A15" s="1"/>
      <c r="B15" s="27" t="s">
        <v>329</v>
      </c>
      <c r="C15" s="1"/>
      <c r="D15" s="1"/>
      <c r="E15" s="1"/>
      <c r="F15" s="1"/>
      <c r="G15" s="1"/>
      <c r="H15" s="1"/>
      <c r="I15" s="1"/>
      <c r="J15" s="1"/>
      <c r="K15" s="1"/>
      <c r="L15" s="49">
        <v>9.0</v>
      </c>
      <c r="M15" s="50">
        <f>MINIFS(Data!$I$2:$I$468,Data!$B$2:$B$468,$L15,Data!$E$2:$E$468,"DEBIT")</f>
        <v>2</v>
      </c>
      <c r="N15" s="50">
        <f>IF(COUNTIFS(Data!$B$2:$B$468,$L15,Data!$I$2:$I$468,N$6,Data!$E$2:$E$468,"DEBIT")&gt;0,1,0)</f>
        <v>0</v>
      </c>
      <c r="O15" s="50">
        <f>IF(COUNTIFS(Data!$B$2:$B$468,$L15,Data!$I$2:$I$468,O$6,Data!$E$2:$E$468,"DEBIT")&gt;0,1,0)</f>
        <v>1</v>
      </c>
      <c r="P15" s="50">
        <f>IF(COUNTIFS(Data!$B$2:$B$468,$L15,Data!$I$2:$I$468,P$6,Data!$E$2:$E$468,"DEBIT")&gt;0,1,0)</f>
        <v>0</v>
      </c>
      <c r="Q15" s="50">
        <f>IF(COUNTIFS(Data!$B$2:$B$468,$L15,Data!$I$2:$I$468,Q$6,Data!$E$2:$E$468,"DEBIT")&gt;0,1,0)</f>
        <v>1</v>
      </c>
      <c r="R15" s="50">
        <f>IF(COUNTIFS(Data!$B$2:$B$468,$L15,Data!$I$2:$I$468,R$6,Data!$E$2:$E$468,"DEBIT")&gt;0,1,0)</f>
        <v>1</v>
      </c>
      <c r="S15" s="50">
        <f>IF(COUNTIFS(Data!$B$2:$B$468,$L15,Data!$I$2:$I$468,S$6,Data!$E$2:$E$468,"DEBIT")&gt;0,1,0)</f>
        <v>0</v>
      </c>
      <c r="T15" s="50">
        <f>IF(COUNTIFS(Data!$B$2:$B$468,$L15,Data!$I$2:$I$468,T$6,Data!$E$2:$E$468,"DEBIT")&gt;0,1,0)</f>
        <v>1</v>
      </c>
      <c r="U15" s="1"/>
      <c r="V15" s="1"/>
      <c r="W15" s="1"/>
      <c r="X15" s="1"/>
      <c r="Y15" s="1"/>
      <c r="Z15" s="1"/>
    </row>
    <row r="16">
      <c r="A16" s="1"/>
      <c r="B16" s="39" t="s">
        <v>130</v>
      </c>
      <c r="C16" s="41">
        <v>43831.0</v>
      </c>
      <c r="D16" s="41">
        <v>43862.0</v>
      </c>
      <c r="E16" s="41">
        <v>43891.0</v>
      </c>
      <c r="F16" s="41">
        <v>43922.0</v>
      </c>
      <c r="G16" s="41">
        <v>43952.0</v>
      </c>
      <c r="H16" s="41">
        <v>43983.0</v>
      </c>
      <c r="I16" s="41">
        <v>44013.0</v>
      </c>
      <c r="J16" s="1"/>
      <c r="K16" s="1"/>
      <c r="L16" s="49">
        <v>10.0</v>
      </c>
      <c r="M16" s="50">
        <f>MINIFS(Data!$I$2:$I$468,Data!$B$2:$B$468,$L16,Data!$E$2:$E$468,"DEBIT")</f>
        <v>1</v>
      </c>
      <c r="N16" s="50">
        <f>IF(COUNTIFS(Data!$B$2:$B$468,$L16,Data!$I$2:$I$468,N$6,Data!$E$2:$E$468,"DEBIT")&gt;0,1,0)</f>
        <v>1</v>
      </c>
      <c r="O16" s="50">
        <f>IF(COUNTIFS(Data!$B$2:$B$468,$L16,Data!$I$2:$I$468,O$6,Data!$E$2:$E$468,"DEBIT")&gt;0,1,0)</f>
        <v>1</v>
      </c>
      <c r="P16" s="50">
        <f>IF(COUNTIFS(Data!$B$2:$B$468,$L16,Data!$I$2:$I$468,P$6,Data!$E$2:$E$468,"DEBIT")&gt;0,1,0)</f>
        <v>1</v>
      </c>
      <c r="Q16" s="50">
        <f>IF(COUNTIFS(Data!$B$2:$B$468,$L16,Data!$I$2:$I$468,Q$6,Data!$E$2:$E$468,"DEBIT")&gt;0,1,0)</f>
        <v>1</v>
      </c>
      <c r="R16" s="50">
        <f>IF(COUNTIFS(Data!$B$2:$B$468,$L16,Data!$I$2:$I$468,R$6,Data!$E$2:$E$468,"DEBIT")&gt;0,1,0)</f>
        <v>0</v>
      </c>
      <c r="S16" s="50">
        <f>IF(COUNTIFS(Data!$B$2:$B$468,$L16,Data!$I$2:$I$468,S$6,Data!$E$2:$E$468,"DEBIT")&gt;0,1,0)</f>
        <v>1</v>
      </c>
      <c r="T16" s="50">
        <f>IF(COUNTIFS(Data!$B$2:$B$468,$L16,Data!$I$2:$I$468,T$6,Data!$E$2:$E$468,"DEBIT")&gt;0,1,0)</f>
        <v>1</v>
      </c>
      <c r="U16" s="1"/>
      <c r="V16" s="1"/>
      <c r="W16" s="1"/>
      <c r="X16" s="1"/>
      <c r="Y16" s="1"/>
      <c r="Z16" s="1"/>
    </row>
    <row r="17">
      <c r="A17" s="1"/>
      <c r="B17" s="46">
        <v>43831.0</v>
      </c>
      <c r="C17" s="58">
        <f t="shared" ref="C17:I17" si="9">IFERROR(C7/$J7,"-")</f>
        <v>1</v>
      </c>
      <c r="D17" s="58">
        <f t="shared" si="9"/>
        <v>0.625</v>
      </c>
      <c r="E17" s="58">
        <f t="shared" si="9"/>
        <v>1</v>
      </c>
      <c r="F17" s="58">
        <f t="shared" si="9"/>
        <v>0.875</v>
      </c>
      <c r="G17" s="58">
        <f t="shared" si="9"/>
        <v>0.875</v>
      </c>
      <c r="H17" s="58">
        <f t="shared" si="9"/>
        <v>0.875</v>
      </c>
      <c r="I17" s="58">
        <f t="shared" si="9"/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6">
        <v>43862.0</v>
      </c>
      <c r="C18" s="58">
        <f t="shared" ref="C18:I18" si="10">IFERROR(C8/$J8,"-")</f>
        <v>0</v>
      </c>
      <c r="D18" s="58">
        <f t="shared" si="10"/>
        <v>1</v>
      </c>
      <c r="E18" s="58">
        <f t="shared" si="10"/>
        <v>0</v>
      </c>
      <c r="F18" s="58">
        <f t="shared" si="10"/>
        <v>1</v>
      </c>
      <c r="G18" s="58">
        <f t="shared" si="10"/>
        <v>1</v>
      </c>
      <c r="H18" s="58">
        <f t="shared" si="10"/>
        <v>0</v>
      </c>
      <c r="I18" s="58">
        <f t="shared" si="10"/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6">
        <v>43891.0</v>
      </c>
      <c r="C19" s="58">
        <f t="shared" ref="C19:I19" si="11">IFERROR(C9/$J9,"-")</f>
        <v>0</v>
      </c>
      <c r="D19" s="58">
        <f t="shared" si="11"/>
        <v>0</v>
      </c>
      <c r="E19" s="58">
        <f t="shared" si="11"/>
        <v>1</v>
      </c>
      <c r="F19" s="58">
        <f t="shared" si="11"/>
        <v>1</v>
      </c>
      <c r="G19" s="58">
        <f t="shared" si="11"/>
        <v>1</v>
      </c>
      <c r="H19" s="58">
        <f t="shared" si="11"/>
        <v>1</v>
      </c>
      <c r="I19" s="58">
        <f t="shared" si="11"/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6">
        <v>43922.0</v>
      </c>
      <c r="C20" s="58" t="str">
        <f t="shared" ref="C20:I20" si="12">IFERROR(C10/$J10,"-")</f>
        <v>-</v>
      </c>
      <c r="D20" s="58" t="str">
        <f t="shared" si="12"/>
        <v>-</v>
      </c>
      <c r="E20" s="58" t="str">
        <f t="shared" si="12"/>
        <v>-</v>
      </c>
      <c r="F20" s="58" t="str">
        <f t="shared" si="12"/>
        <v>-</v>
      </c>
      <c r="G20" s="58" t="str">
        <f t="shared" si="12"/>
        <v>-</v>
      </c>
      <c r="H20" s="58" t="str">
        <f t="shared" si="12"/>
        <v>-</v>
      </c>
      <c r="I20" s="58" t="str">
        <f t="shared" si="12"/>
        <v>-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6">
        <v>43952.0</v>
      </c>
      <c r="C21" s="58" t="str">
        <f t="shared" ref="C21:I21" si="13">IFERROR(C11/$J11,"-")</f>
        <v>-</v>
      </c>
      <c r="D21" s="58" t="str">
        <f t="shared" si="13"/>
        <v>-</v>
      </c>
      <c r="E21" s="58" t="str">
        <f t="shared" si="13"/>
        <v>-</v>
      </c>
      <c r="F21" s="58" t="str">
        <f t="shared" si="13"/>
        <v>-</v>
      </c>
      <c r="G21" s="58" t="str">
        <f t="shared" si="13"/>
        <v>-</v>
      </c>
      <c r="H21" s="58" t="str">
        <f t="shared" si="13"/>
        <v>-</v>
      </c>
      <c r="I21" s="58" t="str">
        <f t="shared" si="13"/>
        <v>-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6">
        <v>43983.0</v>
      </c>
      <c r="C22" s="58" t="str">
        <f t="shared" ref="C22:I22" si="14">IFERROR(C12/$J12,"-")</f>
        <v>-</v>
      </c>
      <c r="D22" s="58" t="str">
        <f t="shared" si="14"/>
        <v>-</v>
      </c>
      <c r="E22" s="58" t="str">
        <f t="shared" si="14"/>
        <v>-</v>
      </c>
      <c r="F22" s="58" t="str">
        <f t="shared" si="14"/>
        <v>-</v>
      </c>
      <c r="G22" s="58" t="str">
        <f t="shared" si="14"/>
        <v>-</v>
      </c>
      <c r="H22" s="58" t="str">
        <f t="shared" si="14"/>
        <v>-</v>
      </c>
      <c r="I22" s="58" t="str">
        <f t="shared" si="14"/>
        <v>-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46">
        <v>44013.0</v>
      </c>
      <c r="C23" s="58" t="str">
        <f t="shared" ref="C23:I23" si="15">IFERROR(C13/$J13,"-")</f>
        <v>-</v>
      </c>
      <c r="D23" s="58" t="str">
        <f t="shared" si="15"/>
        <v>-</v>
      </c>
      <c r="E23" s="58" t="str">
        <f t="shared" si="15"/>
        <v>-</v>
      </c>
      <c r="F23" s="58" t="str">
        <f t="shared" si="15"/>
        <v>-</v>
      </c>
      <c r="G23" s="58" t="str">
        <f t="shared" si="15"/>
        <v>-</v>
      </c>
      <c r="H23" s="58" t="str">
        <f t="shared" si="15"/>
        <v>-</v>
      </c>
      <c r="I23" s="58" t="str">
        <f t="shared" si="15"/>
        <v>-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5" width="14.0"/>
    <col customWidth="1" min="6" max="6" width="10.0"/>
    <col customWidth="1" min="7" max="7" width="16.0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153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5" t="s">
        <v>156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5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2" t="s">
        <v>79</v>
      </c>
      <c r="C5" s="42" t="s">
        <v>162</v>
      </c>
      <c r="D5" s="42" t="s">
        <v>163</v>
      </c>
      <c r="E5" s="42" t="s">
        <v>165</v>
      </c>
      <c r="F5" s="42" t="s">
        <v>76</v>
      </c>
      <c r="G5" s="42" t="s">
        <v>166</v>
      </c>
      <c r="H5" s="42" t="s">
        <v>167</v>
      </c>
      <c r="I5" s="1"/>
      <c r="J5" s="1"/>
      <c r="K5" s="5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1">
        <v>1.0</v>
      </c>
      <c r="C6" s="33">
        <f>SUMIFS(Data!$C$2:$C$468,Data!$B$2:$B$468,B6,Data!$E$2:$E$468,"DEBIT")</f>
        <v>67239</v>
      </c>
      <c r="D6" s="33">
        <f>SUMIFS(Data!$C$2:$C$468,Data!$B$2:$B$468,B6,Data!$E$2:$E$468,"CREDIT")</f>
        <v>111143</v>
      </c>
      <c r="E6" s="33">
        <f t="shared" ref="E6:E15" si="1">C6-D6</f>
        <v>-43904</v>
      </c>
      <c r="F6" s="31">
        <f t="shared" ref="F6:F15" si="2">RANK(E6,$E$6:$E$15,0)</f>
        <v>4</v>
      </c>
      <c r="G6" s="52">
        <f t="shared" ref="G6:G15" si="3">(F6-1)/(COUNT($E$6:$E$15)-1)</f>
        <v>0.3333333333</v>
      </c>
      <c r="H6" s="31" t="str">
        <f t="shared" ref="H6:H15" si="4">IF(G6&lt;=0.1,"YES","No")</f>
        <v>No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1">
        <v>2.0</v>
      </c>
      <c r="C7" s="33">
        <f>SUMIFS(Data!$C$2:$C$468,Data!$B$2:$B$468,B7,Data!$E$2:$E$468,"DEBIT")</f>
        <v>64380</v>
      </c>
      <c r="D7" s="33">
        <f>SUMIFS(Data!$C$2:$C$468,Data!$B$2:$B$468,B7,Data!$E$2:$E$468,"CREDIT")</f>
        <v>202716</v>
      </c>
      <c r="E7" s="33">
        <f t="shared" si="1"/>
        <v>-138336</v>
      </c>
      <c r="F7" s="31">
        <f t="shared" si="2"/>
        <v>9</v>
      </c>
      <c r="G7" s="52">
        <f t="shared" si="3"/>
        <v>0.8888888889</v>
      </c>
      <c r="H7" s="31" t="str">
        <f t="shared" si="4"/>
        <v>No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>
        <v>3.0</v>
      </c>
      <c r="C8" s="33">
        <f>SUMIFS(Data!$C$2:$C$468,Data!$B$2:$B$468,B8,Data!$E$2:$E$468,"DEBIT")</f>
        <v>106386</v>
      </c>
      <c r="D8" s="33">
        <f>SUMIFS(Data!$C$2:$C$468,Data!$B$2:$B$468,B8,Data!$E$2:$E$468,"CREDIT")</f>
        <v>130583</v>
      </c>
      <c r="E8" s="33">
        <f t="shared" si="1"/>
        <v>-24197</v>
      </c>
      <c r="F8" s="31">
        <f t="shared" si="2"/>
        <v>1</v>
      </c>
      <c r="G8" s="52">
        <f t="shared" si="3"/>
        <v>0</v>
      </c>
      <c r="H8" s="31" t="str">
        <f t="shared" si="4"/>
        <v>YES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1">
        <v>4.0</v>
      </c>
      <c r="C9" s="33">
        <f>SUMIFS(Data!$C$2:$C$468,Data!$B$2:$B$468,B9,Data!$E$2:$E$468,"DEBIT")</f>
        <v>100477</v>
      </c>
      <c r="D9" s="33">
        <f>SUMIFS(Data!$C$2:$C$468,Data!$B$2:$B$468,B9,Data!$E$2:$E$468,"CREDIT")</f>
        <v>178960</v>
      </c>
      <c r="E9" s="33">
        <f t="shared" si="1"/>
        <v>-78483</v>
      </c>
      <c r="F9" s="31">
        <f t="shared" si="2"/>
        <v>5</v>
      </c>
      <c r="G9" s="52">
        <f t="shared" si="3"/>
        <v>0.4444444444</v>
      </c>
      <c r="H9" s="31" t="str">
        <f t="shared" si="4"/>
        <v>No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1">
        <v>5.0</v>
      </c>
      <c r="C10" s="33">
        <f>SUMIFS(Data!$C$2:$C$468,Data!$B$2:$B$468,B10,Data!$E$2:$E$468,"DEBIT")</f>
        <v>56298</v>
      </c>
      <c r="D10" s="33">
        <f>SUMIFS(Data!$C$2:$C$468,Data!$B$2:$B$468,B10,Data!$E$2:$E$468,"CREDIT")</f>
        <v>195126</v>
      </c>
      <c r="E10" s="33">
        <f t="shared" si="1"/>
        <v>-138828</v>
      </c>
      <c r="F10" s="31">
        <f t="shared" si="2"/>
        <v>10</v>
      </c>
      <c r="G10" s="52">
        <f t="shared" si="3"/>
        <v>1</v>
      </c>
      <c r="H10" s="31" t="str">
        <f t="shared" si="4"/>
        <v>No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1">
        <v>6.0</v>
      </c>
      <c r="C11" s="33">
        <f>SUMIFS(Data!$C$2:$C$468,Data!$B$2:$B$468,B11,Data!$E$2:$E$468,"DEBIT")</f>
        <v>45470</v>
      </c>
      <c r="D11" s="33">
        <f>SUMIFS(Data!$C$2:$C$468,Data!$B$2:$B$468,B11,Data!$E$2:$E$468,"CREDIT")</f>
        <v>171099</v>
      </c>
      <c r="E11" s="33">
        <f t="shared" si="1"/>
        <v>-125629</v>
      </c>
      <c r="F11" s="31">
        <f t="shared" si="2"/>
        <v>8</v>
      </c>
      <c r="G11" s="52">
        <f t="shared" si="3"/>
        <v>0.7777777778</v>
      </c>
      <c r="H11" s="31" t="str">
        <f t="shared" si="4"/>
        <v>No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1">
        <v>7.0</v>
      </c>
      <c r="C12" s="33">
        <f>SUMIFS(Data!$C$2:$C$468,Data!$B$2:$B$468,B12,Data!$E$2:$E$468,"DEBIT")</f>
        <v>69726</v>
      </c>
      <c r="D12" s="33">
        <f>SUMIFS(Data!$C$2:$C$468,Data!$B$2:$B$468,B12,Data!$E$2:$E$468,"CREDIT")</f>
        <v>164918</v>
      </c>
      <c r="E12" s="33">
        <f t="shared" si="1"/>
        <v>-95192</v>
      </c>
      <c r="F12" s="31">
        <f t="shared" si="2"/>
        <v>6</v>
      </c>
      <c r="G12" s="52">
        <f t="shared" si="3"/>
        <v>0.5555555556</v>
      </c>
      <c r="H12" s="31" t="str">
        <f t="shared" si="4"/>
        <v>No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1">
        <v>8.0</v>
      </c>
      <c r="C13" s="33">
        <f>SUMIFS(Data!$C$2:$C$468,Data!$B$2:$B$468,B13,Data!$E$2:$E$468,"DEBIT")</f>
        <v>120477</v>
      </c>
      <c r="D13" s="33">
        <f>SUMIFS(Data!$C$2:$C$468,Data!$B$2:$B$468,B13,Data!$E$2:$E$468,"CREDIT")</f>
        <v>144687</v>
      </c>
      <c r="E13" s="33">
        <f t="shared" si="1"/>
        <v>-24210</v>
      </c>
      <c r="F13" s="31">
        <f t="shared" si="2"/>
        <v>2</v>
      </c>
      <c r="G13" s="52">
        <f t="shared" si="3"/>
        <v>0.1111111111</v>
      </c>
      <c r="H13" s="31" t="str">
        <f t="shared" si="4"/>
        <v>No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1">
        <v>9.0</v>
      </c>
      <c r="C14" s="33">
        <f>SUMIFS(Data!$C$2:$C$468,Data!$B$2:$B$468,B14,Data!$E$2:$E$468,"DEBIT")</f>
        <v>50453</v>
      </c>
      <c r="D14" s="33">
        <f>SUMIFS(Data!$C$2:$C$468,Data!$B$2:$B$468,B14,Data!$E$2:$E$468,"CREDIT")</f>
        <v>162363</v>
      </c>
      <c r="E14" s="33">
        <f t="shared" si="1"/>
        <v>-111910</v>
      </c>
      <c r="F14" s="31">
        <f t="shared" si="2"/>
        <v>7</v>
      </c>
      <c r="G14" s="52">
        <f t="shared" si="3"/>
        <v>0.6666666667</v>
      </c>
      <c r="H14" s="31" t="str">
        <f t="shared" si="4"/>
        <v>No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1">
        <v>10.0</v>
      </c>
      <c r="C15" s="33">
        <f>SUMIFS(Data!$C$2:$C$468,Data!$B$2:$B$468,B15,Data!$E$2:$E$468,"DEBIT")</f>
        <v>86404</v>
      </c>
      <c r="D15" s="33">
        <f>SUMIFS(Data!$C$2:$C$468,Data!$B$2:$B$468,B15,Data!$E$2:$E$468,"CREDIT")</f>
        <v>126883</v>
      </c>
      <c r="E15" s="33">
        <f t="shared" si="1"/>
        <v>-40479</v>
      </c>
      <c r="F15" s="31">
        <f t="shared" si="2"/>
        <v>3</v>
      </c>
      <c r="G15" s="52">
        <f t="shared" si="3"/>
        <v>0.2222222222</v>
      </c>
      <c r="H15" s="31" t="str">
        <f t="shared" si="4"/>
        <v>No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3" t="s">
        <v>261</v>
      </c>
      <c r="C17" s="54"/>
      <c r="D17" s="54"/>
      <c r="E17" s="55" t="str">
        <f t="array" ref="E17">"User "&amp;INDEX($B$6:$B$15,MATCH(1,$F$6:$F$15,0))</f>
        <v>User 3</v>
      </c>
      <c r="F17" s="54"/>
      <c r="G17" s="54"/>
      <c r="H17" s="5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7" t="s">
        <v>274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E17:H17"/>
    <mergeCell ref="B19:H19"/>
    <mergeCell ref="B17:D17"/>
  </mergeCells>
  <printOptions/>
  <pageMargins bottom="1.0" footer="0.0" header="0.0" left="0.75" right="0.75" top="1.0"/>
  <pageSetup paperSize="9" orientation="portrait"/>
  <drawing r:id="rId1"/>
</worksheet>
</file>